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defaultThemeVersion="166925"/>
  <mc:AlternateContent xmlns:mc="http://schemas.openxmlformats.org/markup-compatibility/2006">
    <mc:Choice Requires="x15">
      <x15ac:absPath xmlns:x15ac="http://schemas.microsoft.com/office/spreadsheetml/2010/11/ac" url="/Users/emily/Library/Mobile Documents/com~apple~CloudDocs/"/>
    </mc:Choice>
  </mc:AlternateContent>
  <xr:revisionPtr revIDLastSave="0" documentId="13_ncr:1_{071ECCAA-D167-6D4F-AC73-B651E50AAB39}" xr6:coauthVersionLast="47" xr6:coauthVersionMax="47" xr10:uidLastSave="{00000000-0000-0000-0000-000000000000}"/>
  <bookViews>
    <workbookView xWindow="0" yWindow="0" windowWidth="33600" windowHeight="21000" activeTab="2" xr2:uid="{00000000-000D-0000-FFFF-FFFF00000000}"/>
  </bookViews>
  <sheets>
    <sheet name="Lookups" sheetId="1" r:id="rId1"/>
    <sheet name="Risk_Register" sheetId="2" r:id="rId2"/>
    <sheet name="Action_Tracker" sheetId="3" r:id="rId3"/>
    <sheet name="Dashboard" sheetId="4" r:id="rId4"/>
    <sheet name="Pivot_Data" sheetId="5" r:id="rId5"/>
  </sheets>
  <definedNames>
    <definedName name="_xlnm._FilterDatabase" localSheetId="1" hidden="1">Risk_Register!$X$20:$X$20</definedName>
    <definedName name="ActionStatusList">Lookups!$E$1:$E$5</definedName>
    <definedName name="BuisnessUnitList">Lookups!$D$1:$D$8</definedName>
    <definedName name="CategoryList">Lookups!$A$1:$A$7</definedName>
    <definedName name="ControlStrengthList">Lookups!$C$1:$C$4</definedName>
    <definedName name="PriorityList">Lookups!$F$1:$F$5</definedName>
    <definedName name="RiskStatusList">Lookups!$B$1:$B$6</definedName>
    <definedName name="Slicer_Status">#N/A</definedName>
    <definedName name="tblCategory">Lookups!$A$2:$A$7</definedName>
    <definedName name="tblRisk_Status">Lookups!$B$2:$B$6</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3" l="1"/>
  <c r="J3" i="3"/>
  <c r="J4" i="3"/>
  <c r="J5" i="3"/>
  <c r="J6" i="3"/>
  <c r="J7" i="3"/>
  <c r="J8" i="3"/>
  <c r="J10" i="3"/>
  <c r="J12" i="3"/>
  <c r="J14" i="3"/>
  <c r="J15" i="3"/>
  <c r="J16" i="3"/>
  <c r="J18" i="3"/>
  <c r="J19" i="3"/>
  <c r="J20" i="3"/>
  <c r="J21" i="3"/>
  <c r="I2" i="3"/>
  <c r="I3" i="3"/>
  <c r="I4" i="3"/>
  <c r="I5" i="3"/>
  <c r="I6" i="3"/>
  <c r="I7" i="3"/>
  <c r="I8" i="3"/>
  <c r="I10" i="3"/>
  <c r="I12" i="3"/>
  <c r="I14" i="3"/>
  <c r="I15" i="3"/>
  <c r="I16" i="3"/>
  <c r="I18" i="3"/>
  <c r="I19" i="3"/>
  <c r="I20" i="3"/>
  <c r="I21" i="3"/>
  <c r="E2" i="3"/>
  <c r="E3" i="3"/>
  <c r="E4" i="3"/>
  <c r="E5" i="3"/>
  <c r="E6" i="3"/>
  <c r="E7" i="3"/>
  <c r="E8" i="3"/>
  <c r="E9" i="3"/>
  <c r="I9" i="3" s="1"/>
  <c r="E10" i="3"/>
  <c r="E11" i="3"/>
  <c r="J11" i="3" s="1"/>
  <c r="E12" i="3"/>
  <c r="E13" i="3"/>
  <c r="I13" i="3" s="1"/>
  <c r="E14" i="3"/>
  <c r="E15" i="3"/>
  <c r="E16" i="3"/>
  <c r="E17" i="3"/>
  <c r="I17" i="3" s="1"/>
  <c r="E18" i="3"/>
  <c r="E19" i="3"/>
  <c r="E20" i="3"/>
  <c r="E21" i="3"/>
  <c r="E22" i="3"/>
  <c r="I22" i="3" s="1"/>
  <c r="E23" i="3"/>
  <c r="I23" i="3" s="1"/>
  <c r="E24" i="3"/>
  <c r="I24" i="3" s="1"/>
  <c r="E25" i="3"/>
  <c r="I25" i="3" s="1"/>
  <c r="E26" i="3"/>
  <c r="J26" i="3" s="1"/>
  <c r="E27" i="3"/>
  <c r="J27" i="3" s="1"/>
  <c r="E28" i="3"/>
  <c r="I28" i="3" s="1"/>
  <c r="A13" i="3" a="1"/>
  <c r="A13" i="3" s="1"/>
  <c r="A19" i="3" a="1"/>
  <c r="A19" i="3" s="1"/>
  <c r="A9" i="3" a="1"/>
  <c r="A9" i="3" s="1"/>
  <c r="K6" i="5"/>
  <c r="J11" i="4" s="1"/>
  <c r="K5" i="5"/>
  <c r="G11" i="4" s="1"/>
  <c r="K3" i="5"/>
  <c r="J7" i="4" s="1"/>
  <c r="K2" i="5"/>
  <c r="G7" i="4" s="1"/>
  <c r="A2" i="3" a="1"/>
  <c r="A2" i="3" s="1"/>
  <c r="R2" i="2"/>
  <c r="R3" i="2"/>
  <c r="R4" i="2"/>
  <c r="R5" i="2"/>
  <c r="R6" i="2"/>
  <c r="R7" i="2"/>
  <c r="R8" i="2"/>
  <c r="R17" i="2"/>
  <c r="R10" i="2"/>
  <c r="R22" i="2"/>
  <c r="R12" i="2"/>
  <c r="R23" i="2"/>
  <c r="R14" i="2"/>
  <c r="R15" i="2"/>
  <c r="R16" i="2"/>
  <c r="R11" i="2"/>
  <c r="R18" i="2"/>
  <c r="R19" i="2"/>
  <c r="R20" i="2"/>
  <c r="R21" i="2"/>
  <c r="R27" i="2"/>
  <c r="R28" i="2"/>
  <c r="R24" i="2"/>
  <c r="R25" i="2"/>
  <c r="R26" i="2"/>
  <c r="R13" i="2"/>
  <c r="R9" i="2"/>
  <c r="S17" i="2"/>
  <c r="A3" i="3" a="1"/>
  <c r="A3" i="3" s="1"/>
  <c r="A4" i="3" a="1"/>
  <c r="A4" i="3" s="1"/>
  <c r="A5" i="3" a="1"/>
  <c r="A5" i="3" s="1"/>
  <c r="A6" i="3" a="1"/>
  <c r="A6" i="3" s="1"/>
  <c r="A7" i="3" a="1"/>
  <c r="A7" i="3" s="1"/>
  <c r="A8" i="3" a="1"/>
  <c r="A8" i="3" s="1"/>
  <c r="A10" i="3" a="1"/>
  <c r="A10" i="3" s="1"/>
  <c r="A11" i="3" a="1"/>
  <c r="A11" i="3" s="1"/>
  <c r="A12" i="3" a="1"/>
  <c r="A12" i="3" s="1"/>
  <c r="A14" i="3" a="1"/>
  <c r="A14" i="3" s="1"/>
  <c r="A15" i="3" a="1"/>
  <c r="A15" i="3" s="1"/>
  <c r="A16" i="3" a="1"/>
  <c r="A16" i="3" s="1"/>
  <c r="A17" i="3" a="1"/>
  <c r="A17" i="3" s="1"/>
  <c r="A18" i="3" a="1"/>
  <c r="A18" i="3" s="1"/>
  <c r="A20" i="3" a="1"/>
  <c r="A20" i="3" s="1"/>
  <c r="A21" i="3" a="1"/>
  <c r="A21" i="3" s="1"/>
  <c r="A22" i="3" a="1"/>
  <c r="A22" i="3" s="1"/>
  <c r="A23" i="3" a="1"/>
  <c r="A23" i="3" s="1"/>
  <c r="A24" i="3" a="1"/>
  <c r="A24" i="3" s="1"/>
  <c r="A25" i="3" a="1"/>
  <c r="A25" i="3" s="1"/>
  <c r="A26" i="3" a="1"/>
  <c r="A26" i="3" s="1"/>
  <c r="A27" i="3" a="1"/>
  <c r="A27" i="3" s="1"/>
  <c r="A28" i="3" a="1"/>
  <c r="A28" i="3" s="1"/>
  <c r="A37" i="3" a="1"/>
  <c r="A37" i="3" s="1"/>
  <c r="A38" i="3" a="1"/>
  <c r="A38" i="3" s="1"/>
  <c r="A39" i="3" a="1"/>
  <c r="A39" i="3" s="1"/>
  <c r="A40" i="3" a="1"/>
  <c r="A40" i="3" s="1"/>
  <c r="A41" i="3" a="1"/>
  <c r="A41" i="3" s="1"/>
  <c r="A42" i="3" a="1"/>
  <c r="A42" i="3" s="1"/>
  <c r="A43" i="3" a="1"/>
  <c r="A43" i="3" s="1"/>
  <c r="A44" i="3" a="1"/>
  <c r="A44" i="3" s="1"/>
  <c r="A45" i="3" a="1"/>
  <c r="A45" i="3" s="1"/>
  <c r="A46" i="3" a="1"/>
  <c r="A46" i="3" s="1"/>
  <c r="A47" i="3" a="1"/>
  <c r="A47" i="3" s="1"/>
  <c r="A48" i="3" a="1"/>
  <c r="A48" i="3" s="1"/>
  <c r="A49" i="3" a="1"/>
  <c r="A49" i="3" s="1"/>
  <c r="A50" i="3" a="1"/>
  <c r="A50" i="3" s="1"/>
  <c r="A51" i="3" a="1"/>
  <c r="A51" i="3" s="1"/>
  <c r="A52" i="3" a="1"/>
  <c r="A52" i="3" s="1"/>
  <c r="A53" i="3" a="1"/>
  <c r="A53" i="3" s="1"/>
  <c r="A54" i="3" a="1"/>
  <c r="A54" i="3" s="1"/>
  <c r="A55" i="3" a="1"/>
  <c r="A55" i="3" s="1"/>
  <c r="A56" i="3" a="1"/>
  <c r="A56" i="3" s="1"/>
  <c r="A57" i="3" a="1"/>
  <c r="A57" i="3" s="1"/>
  <c r="A58" i="3" a="1"/>
  <c r="A58" i="3" s="1"/>
  <c r="A59" i="3" a="1"/>
  <c r="A59" i="3" s="1"/>
  <c r="J3" i="2"/>
  <c r="J4" i="2"/>
  <c r="J5" i="2"/>
  <c r="J6" i="2"/>
  <c r="J7" i="2"/>
  <c r="J8" i="2"/>
  <c r="J17" i="2"/>
  <c r="J10" i="2"/>
  <c r="J22" i="2"/>
  <c r="J12" i="2"/>
  <c r="J23" i="2"/>
  <c r="J14" i="2"/>
  <c r="J15" i="2"/>
  <c r="J16" i="2"/>
  <c r="J11" i="2"/>
  <c r="J18" i="2"/>
  <c r="J19" i="2"/>
  <c r="J20" i="2"/>
  <c r="J21" i="2"/>
  <c r="J27" i="2"/>
  <c r="J28" i="2"/>
  <c r="J24" i="2"/>
  <c r="J25" i="2"/>
  <c r="J26" i="2"/>
  <c r="J13" i="2"/>
  <c r="J9" i="2"/>
  <c r="N3" i="2"/>
  <c r="O3" i="2" s="1"/>
  <c r="N4" i="2"/>
  <c r="O4" i="2" s="1"/>
  <c r="N5" i="2"/>
  <c r="O5" i="2" s="1"/>
  <c r="N6" i="2"/>
  <c r="O6" i="2" s="1"/>
  <c r="N7" i="2"/>
  <c r="O7" i="2" s="1"/>
  <c r="N8" i="2"/>
  <c r="O8" i="2" s="1"/>
  <c r="N17" i="2"/>
  <c r="N10" i="2"/>
  <c r="O10" i="2" s="1"/>
  <c r="N22" i="2"/>
  <c r="N12" i="2"/>
  <c r="O12" i="2" s="1"/>
  <c r="N23" i="2"/>
  <c r="N14" i="2"/>
  <c r="O14" i="2" s="1"/>
  <c r="N15" i="2"/>
  <c r="O15" i="2" s="1"/>
  <c r="N16" i="2"/>
  <c r="O16" i="2" s="1"/>
  <c r="N11" i="2"/>
  <c r="N18" i="2"/>
  <c r="O18" i="2" s="1"/>
  <c r="N19" i="2"/>
  <c r="O19" i="2" s="1"/>
  <c r="N20" i="2"/>
  <c r="O20" i="2" s="1"/>
  <c r="N21" i="2"/>
  <c r="O21" i="2" s="1"/>
  <c r="N27" i="2"/>
  <c r="N28" i="2"/>
  <c r="N24" i="2"/>
  <c r="N25" i="2"/>
  <c r="N26" i="2"/>
  <c r="N13" i="2"/>
  <c r="N9" i="2"/>
  <c r="S3" i="2"/>
  <c r="S4" i="2"/>
  <c r="S5" i="2"/>
  <c r="S6" i="2"/>
  <c r="S7" i="2"/>
  <c r="S8" i="2"/>
  <c r="S10" i="2"/>
  <c r="S22" i="2"/>
  <c r="S12" i="2"/>
  <c r="S23" i="2"/>
  <c r="S14" i="2"/>
  <c r="S15" i="2"/>
  <c r="S16" i="2"/>
  <c r="S11" i="2"/>
  <c r="S18" i="2"/>
  <c r="S19" i="2"/>
  <c r="S20" i="2"/>
  <c r="S21" i="2"/>
  <c r="S27" i="2"/>
  <c r="S28" i="2"/>
  <c r="S24" i="2"/>
  <c r="S25" i="2"/>
  <c r="S26" i="2"/>
  <c r="S13" i="2"/>
  <c r="S9" i="2"/>
  <c r="S2" i="2"/>
  <c r="N2" i="2"/>
  <c r="O2" i="2" s="1"/>
  <c r="J2" i="2"/>
  <c r="I27" i="3" l="1"/>
  <c r="I11" i="3"/>
  <c r="J25" i="3"/>
  <c r="J17" i="3"/>
  <c r="J9" i="3"/>
  <c r="I26" i="3"/>
  <c r="J24" i="3"/>
  <c r="J23" i="3"/>
  <c r="J22" i="3"/>
  <c r="J13" i="3"/>
  <c r="J28" i="3"/>
  <c r="K7" i="5"/>
  <c r="M11" i="4" s="1"/>
  <c r="O28" i="2"/>
  <c r="O26" i="2"/>
  <c r="O27" i="2"/>
  <c r="O13" i="2"/>
  <c r="O22" i="2"/>
  <c r="O23" i="2"/>
  <c r="O9" i="2"/>
  <c r="O17" i="2"/>
  <c r="O25" i="2"/>
  <c r="O11" i="2"/>
  <c r="O24" i="2"/>
  <c r="K4" i="5" l="1"/>
  <c r="M7"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<sst xmlns="http://schemas.openxmlformats.org/spreadsheetml/2006/main" count="571" uniqueCount="228">
  <si>
    <t>Category</t>
  </si>
  <si>
    <t>Risk_Status</t>
  </si>
  <si>
    <t>Control_Strength</t>
  </si>
  <si>
    <t>Buisness_Unit</t>
  </si>
  <si>
    <t>Action Status</t>
  </si>
  <si>
    <t>Priority</t>
  </si>
  <si>
    <t>Risk_Source</t>
  </si>
  <si>
    <t>Operational</t>
  </si>
  <si>
    <t>Weak</t>
  </si>
  <si>
    <t>GO Ops</t>
  </si>
  <si>
    <t xml:space="preserve">Not Started </t>
  </si>
  <si>
    <t>Low</t>
  </si>
  <si>
    <t>Workshop</t>
  </si>
  <si>
    <t>IT</t>
  </si>
  <si>
    <t>New</t>
  </si>
  <si>
    <t>Moderate</t>
  </si>
  <si>
    <t>Bus Ops</t>
  </si>
  <si>
    <t>In Progress</t>
  </si>
  <si>
    <t>Medium</t>
  </si>
  <si>
    <t>Ops Meeting</t>
  </si>
  <si>
    <t>Safety</t>
  </si>
  <si>
    <t>In Review</t>
  </si>
  <si>
    <t>Strong</t>
  </si>
  <si>
    <t>Capital Projects</t>
  </si>
  <si>
    <t xml:space="preserve">Done </t>
  </si>
  <si>
    <t>High</t>
  </si>
  <si>
    <t xml:space="preserve">Audit </t>
  </si>
  <si>
    <t>Finance</t>
  </si>
  <si>
    <t>Active</t>
  </si>
  <si>
    <t>Blocked</t>
  </si>
  <si>
    <t>Critical</t>
  </si>
  <si>
    <t>Incident</t>
  </si>
  <si>
    <t>Projects</t>
  </si>
  <si>
    <t>Closed</t>
  </si>
  <si>
    <t>Customer Experience</t>
  </si>
  <si>
    <t>Reputation</t>
  </si>
  <si>
    <t>Office of CRO</t>
  </si>
  <si>
    <t>Risk_ID</t>
  </si>
  <si>
    <t>Title</t>
  </si>
  <si>
    <t>Owner</t>
  </si>
  <si>
    <t>Date_Identified</t>
  </si>
  <si>
    <t>Status</t>
  </si>
  <si>
    <t>Likelihood_Inherent</t>
  </si>
  <si>
    <t>Impact_Inherent</t>
  </si>
  <si>
    <t>Score_Inherent</t>
  </si>
  <si>
    <t>Likelihood_Residual</t>
  </si>
  <si>
    <t>Impact_residual</t>
  </si>
  <si>
    <t>Score_residual</t>
  </si>
  <si>
    <t>Appetite_alignment</t>
  </si>
  <si>
    <t>Last_review_date</t>
  </si>
  <si>
    <t>Next_review_date</t>
  </si>
  <si>
    <t>Days_Open</t>
  </si>
  <si>
    <t>Is_Overdue_review</t>
  </si>
  <si>
    <t>Key_Controls</t>
  </si>
  <si>
    <t>MItigation_Summary</t>
  </si>
  <si>
    <t>RSK-2025-0001</t>
  </si>
  <si>
    <t>Service Disruption due to Weather</t>
  </si>
  <si>
    <t>Customer Communications Manager</t>
  </si>
  <si>
    <t>Weather monitoring; service recovery procedures</t>
  </si>
  <si>
    <t>Improve severe weather response and ensure adequate resource coverage during storms.</t>
  </si>
  <si>
    <t>RSK-2025-0002</t>
  </si>
  <si>
    <t xml:space="preserve">Cybersecurity Vulnerabilities   </t>
  </si>
  <si>
    <t>Cybersecurity Manager</t>
  </si>
  <si>
    <t>Audit</t>
  </si>
  <si>
    <t>MFA; vulnerability scanning; security monitoring</t>
  </si>
  <si>
    <t>Address critical vulnerabilities and strengthen security monitoring and evaluate management timelines.</t>
  </si>
  <si>
    <t>RSK-2025-0003</t>
  </si>
  <si>
    <t>Equipment failure limits facility accessibility</t>
  </si>
  <si>
    <t>Accessibility Program Manager</t>
  </si>
  <si>
    <t>Preventative maintenance; vendor escalation process</t>
  </si>
  <si>
    <t>Prioritize accessibility equipment repairs and improve vendor response time tracking.</t>
  </si>
  <si>
    <t>RSK-2025-0004</t>
  </si>
  <si>
    <t>Supervisor, Stations &amp; Facilities</t>
  </si>
  <si>
    <t>Winter maintenance; incident response procedures</t>
  </si>
  <si>
    <t>Strengthen winter readiness and ensure station teams follow standardized disruption protocols.</t>
  </si>
  <si>
    <t>RSK-2025-0005</t>
  </si>
  <si>
    <t>Slip hazard due to Winter Condition</t>
  </si>
  <si>
    <t>Stations Maintenance Lead</t>
  </si>
  <si>
    <t>Salt/grit procedures; safety inspections</t>
  </si>
  <si>
    <t>Increase winter inspections and standardize hazard reporting and follow-up.</t>
  </si>
  <si>
    <t>RSK-2025-0006</t>
  </si>
  <si>
    <t>Maintenance Request Delay</t>
  </si>
  <si>
    <t>Staff Report</t>
  </si>
  <si>
    <t>Work order process; triage procedures</t>
  </si>
  <si>
    <t>Prioritize work orders more effectively and monitor maintenance request response time KPIs.</t>
  </si>
  <si>
    <t>RSK-2025-0007</t>
  </si>
  <si>
    <t xml:space="preserve">Systems Integration Delays Resulting in Duplicate Requests </t>
  </si>
  <si>
    <t>IT Operations Lead</t>
  </si>
  <si>
    <t>Project Review</t>
  </si>
  <si>
    <t>Change management; system testing procedures</t>
  </si>
  <si>
    <t>Enhance integration testing and put restrictions in place to cut down on the number of duplicate requests.</t>
  </si>
  <si>
    <t>RSK-2026-0027</t>
  </si>
  <si>
    <t>Stakeholder Dissatisfaction Following Project Delays</t>
  </si>
  <si>
    <t>Senior Manager, Risk Advisory</t>
  </si>
  <si>
    <t>Project governance; schedule oversight</t>
  </si>
  <si>
    <t>Improve stakeholder communications and implement escalation triggers for project delay impacts.</t>
  </si>
  <si>
    <t>RSK-2025-0009</t>
  </si>
  <si>
    <t xml:space="preserve">Service Delays leading to Customer Dissatisfaction </t>
  </si>
  <si>
    <t>Service alerts; operational recovery protocols</t>
  </si>
  <si>
    <t>Improve disruption communications and improve consistency of service recovery.</t>
  </si>
  <si>
    <t>RSK-2026-0016</t>
  </si>
  <si>
    <t>Scope Creep leads to Stakeholder Concern</t>
  </si>
  <si>
    <t>Stakeholder governance; change control process</t>
  </si>
  <si>
    <t>Improve scope management and ensure stakeholder alignment through standardized change control.</t>
  </si>
  <si>
    <t>RSK-2025-0011</t>
  </si>
  <si>
    <t>Equipment Failure causes Service Disruptions</t>
  </si>
  <si>
    <t>Safety Program Lead</t>
  </si>
  <si>
    <t>Preventative maintenance; safety checks</t>
  </si>
  <si>
    <t>Reduce equipment failures through enhanced preventative maintenance tracking and recurring issue analysis.</t>
  </si>
  <si>
    <t>RSK-2026-0026</t>
  </si>
  <si>
    <t>Data Access Issues Following Staff Turnover</t>
  </si>
  <si>
    <t>Access management process; onboarding/offboarding controls</t>
  </si>
  <si>
    <t>Improve access provisioning controls and ensure timely access removal following staff turnover.</t>
  </si>
  <si>
    <t>RSK-2026-0013</t>
  </si>
  <si>
    <t>Customer Dissatisfaction following Maintenance Delays</t>
  </si>
  <si>
    <t>Maintenance triage; customer communications process</t>
  </si>
  <si>
    <t>Improve maintenance scheduling transparency and strengthen customer-facing updates.</t>
  </si>
  <si>
    <t>RSK-2026-0014</t>
  </si>
  <si>
    <t xml:space="preserve">Trip Hazard due to facility Upgrades </t>
  </si>
  <si>
    <t>Safety signage; work zone procedures</t>
  </si>
  <si>
    <t>Strengthen work zone safety controls and ensure consistent signage and hazard checks.</t>
  </si>
  <si>
    <t>RSK-2026-0015</t>
  </si>
  <si>
    <t>Communications Delays leading to Customer Dissatisfaction</t>
  </si>
  <si>
    <t>Alert protocols; escalation procedures</t>
  </si>
  <si>
    <t>Improve timeliness of customer communications during disruptions through clearer escalation roles.</t>
  </si>
  <si>
    <t>Budget constraints effecting LRT timeline</t>
  </si>
  <si>
    <t>Budget oversight; governance approvals</t>
  </si>
  <si>
    <t>Strengthen cost forecasting and implement early escalation for budget variance risks.</t>
  </si>
  <si>
    <t>RSK-2026-0017</t>
  </si>
  <si>
    <t xml:space="preserve">Media Scrutiny Following Equipment Failure </t>
  </si>
  <si>
    <t>Incident communications protocol; issue escalation</t>
  </si>
  <si>
    <t>Improve communications preparation and ensure consistent messaging following service disruptions.</t>
  </si>
  <si>
    <t>RSK-2026-0018</t>
  </si>
  <si>
    <t>System Downtime leading to Delayed App Communications</t>
  </si>
  <si>
    <t>System monitoring; incident response procedures</t>
  </si>
  <si>
    <t>Improve system uptime through proactive monitoring and standardized incident response escalation.</t>
  </si>
  <si>
    <t>RSK-2026-0019</t>
  </si>
  <si>
    <t>Budget Constraints Limiting Planned  Facility Upgrades</t>
  </si>
  <si>
    <t>Budget monitoring; variance reporting</t>
  </si>
  <si>
    <t>Improve cost tracking and implement early escalation for budget risks impacting facility upgrades.</t>
  </si>
  <si>
    <t>RSK-2026-0020</t>
  </si>
  <si>
    <t>Station Closure due to Electrical Hazard</t>
  </si>
  <si>
    <t>Electrical inspections; safety response procedures</t>
  </si>
  <si>
    <t>Reduce likelihood of electrical hazards through preventative inspections and response readiness.</t>
  </si>
  <si>
    <t>Construction Delays impacting Accessibility Projects</t>
  </si>
  <si>
    <t>Project schedules; contractor oversight</t>
  </si>
  <si>
    <t>Improve contractor performance tracking and implement escalation triggers for potential slippage.</t>
  </si>
  <si>
    <t>Delays in Project Progression due to insufficient Documentation</t>
  </si>
  <si>
    <t>Project Controls Manager</t>
  </si>
  <si>
    <t>Documentation standards; project governance reviews</t>
  </si>
  <si>
    <t>Standardize documentation templates and enforce tighter deadlines.</t>
  </si>
  <si>
    <t>RSK-2026-0023</t>
  </si>
  <si>
    <t>Customer Dissatisfaction due to Station Uncleanliness</t>
  </si>
  <si>
    <t>Cleaning schedules; quality inspections</t>
  </si>
  <si>
    <t>Improve station cleanliness tracking and implement service-level reporting for recurring issues.</t>
  </si>
  <si>
    <t>RSK-2026-0024</t>
  </si>
  <si>
    <t>CCTV Outages Limiting Incident Response Capability</t>
  </si>
  <si>
    <t>CCTV monitoring; access controls</t>
  </si>
  <si>
    <t>Improve CCTV uptime and establish escalation for outages impacting incident response.</t>
  </si>
  <si>
    <t>RSK-2026-0025</t>
  </si>
  <si>
    <t>Emergency Drill Inconsistency Across Sites</t>
  </si>
  <si>
    <t>Emergency preparedness program; compliance tracking</t>
  </si>
  <si>
    <t>Standardize emergency drill scheduling and track completion across sites.</t>
  </si>
  <si>
    <t>RSK-2026-0021</t>
  </si>
  <si>
    <t>Public Dissatisfaction Following Station Closure</t>
  </si>
  <si>
    <t>Customer communication standards; issue escalation</t>
  </si>
  <si>
    <t>Improve customer communications during station disruptions through standardized messaging and timelines.</t>
  </si>
  <si>
    <t>RSK-2026-0022</t>
  </si>
  <si>
    <t xml:space="preserve">Trespassing Incident </t>
  </si>
  <si>
    <t>Safety patrols; incident reporting procedures</t>
  </si>
  <si>
    <t>Strengthen trespassing prevention and improve reporting consistency for follow-up.</t>
  </si>
  <si>
    <t>Action_ID</t>
  </si>
  <si>
    <t>Action_Title</t>
  </si>
  <si>
    <t>Due_Date</t>
  </si>
  <si>
    <t>Percent_Complete</t>
  </si>
  <si>
    <t>Is_Overdue</t>
  </si>
  <si>
    <t>Last_Updated</t>
  </si>
  <si>
    <t>Notes</t>
  </si>
  <si>
    <t>RSK-2026-0008</t>
  </si>
  <si>
    <t>RSK-2026-0010</t>
  </si>
  <si>
    <t>RSK-2026-0012</t>
  </si>
  <si>
    <t>Total Risks</t>
  </si>
  <si>
    <t>Active Risks</t>
  </si>
  <si>
    <t>Open Actions</t>
  </si>
  <si>
    <t>Overdue Reviews</t>
  </si>
  <si>
    <t>Grand Total</t>
  </si>
  <si>
    <t xml:space="preserve">Stations/Facillities </t>
  </si>
  <si>
    <t xml:space="preserve">Corp Services </t>
  </si>
  <si>
    <t>Overdue Actions</t>
  </si>
  <si>
    <t>Outside Risk Appetite</t>
  </si>
  <si>
    <t>KPI's</t>
  </si>
  <si>
    <t>Outside Apetite</t>
  </si>
  <si>
    <t>Pivot Tables</t>
  </si>
  <si>
    <t xml:space="preserve">Count </t>
  </si>
  <si>
    <t>Business Unit</t>
  </si>
  <si>
    <t>KPI Summary</t>
  </si>
  <si>
    <t xml:space="preserve"> Enterprise Risk Dashboard </t>
  </si>
  <si>
    <t>(Simulated Data)</t>
  </si>
  <si>
    <t>Filter: Status</t>
  </si>
  <si>
    <t>Top Ten Risks</t>
  </si>
  <si>
    <t>RSK-2025-0016</t>
  </si>
  <si>
    <t>RSK-2025-0021</t>
  </si>
  <si>
    <t>RSK-2025-0022</t>
  </si>
  <si>
    <t>Days_Overdue</t>
  </si>
  <si>
    <t>ACT-2026-0101</t>
  </si>
  <si>
    <t>Create revised cost forecast and identify top 3 funding gaps</t>
  </si>
  <si>
    <t>ACT-2026-0102</t>
  </si>
  <si>
    <t>ACT-2026-0103</t>
  </si>
  <si>
    <t>ACT-2026-0104</t>
  </si>
  <si>
    <t>ACT-2026-0105</t>
  </si>
  <si>
    <t>ACT-2026-0106</t>
  </si>
  <si>
    <t>Coordinate site walk-through and update safety signage checklist</t>
  </si>
  <si>
    <t>ACT-2026-0107</t>
  </si>
  <si>
    <t>ACT-2026-0108</t>
  </si>
  <si>
    <t>Prepare stakeholder update deck and mitigation timeline</t>
  </si>
  <si>
    <t>Initial draft started, awaiting finance inputs</t>
  </si>
  <si>
    <t>Confirm revised construction schedule and update comms plan</t>
  </si>
  <si>
    <t>Waiting on contractor confirmation</t>
  </si>
  <si>
    <t>Create documentation checklist and assign missing deliverables</t>
  </si>
  <si>
    <t>Run scope review workshop and log decisions in tracker</t>
  </si>
  <si>
    <t>Workshop scheduled, agenda created</t>
  </si>
  <si>
    <t>Draft public response template for closures and delays</t>
  </si>
  <si>
    <t>Template drafted, pending review</t>
  </si>
  <si>
    <t>Walk-through booked with ops</t>
  </si>
  <si>
    <t>Implement cleaning tracking log and weekly audit process</t>
  </si>
  <si>
    <t>Audit template created</t>
  </si>
  <si>
    <t>Outline created, needs metrics</t>
  </si>
  <si>
    <t>CRO meeting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</si>
</sst>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rgb="FF242424"/>
      <name val="Aptos Narrow"/>
    </font>
    <font>
      <sz val="11"/>
      <color rgb="FF000000"/>
      <name val="Calibri"/>
      <family val="2"/>
    </font>
    <font>
      <sz val="24"/>
      <color theme="1"/>
      <name val="Calibri"/>
      <family val="2"/>
      <scheme val="minor"/>
    </font>
    <font>
      <b/>
      <sz val="11"/>
      <color theme="1"/>
      <name val="Calibri"/>
      <family val="2"/>
      <scheme val="minor"/>
    </font>
    <font>
      <b/>
      <sz val="24"/>
      <color theme="1"/>
      <name val="Calibri"/>
      <family val="2"/>
      <scheme val="minor"/>
    </font>
    <font>
      <b/>
      <sz val="12"/>
      <color theme="1"/>
      <name val="Calibri"/>
      <family val="2"/>
      <scheme val="minor"/>
    </font>
    <font>
      <sz val="14"/>
      <color theme="1"/>
      <name val="Calibri"/>
      <family val="2"/>
      <scheme val="minor"/>
    </font>
    <font>
      <sz val="11"/>
      <color theme="0"/>
      <name val="Calibri"/>
      <family val="2"/>
      <scheme val="minor"/>
    </font>
    <font>
      <b/>
      <sz val="20"/>
      <color theme="1"/>
      <name val="Calibri"/>
      <family val="2"/>
      <scheme val="minor"/>
    </font>
    <font>
      <sz val="18"/>
      <color theme="1"/>
      <name val="Calibri"/>
      <family val="2"/>
      <scheme val="minor"/>
    </font>
    <font>
      <sz val="20"/>
      <color theme="1"/>
      <name val="Calibri"/>
      <family val="2"/>
      <scheme val="minor"/>
    </font>
    <font>
      <sz val="26"/>
      <color theme="1"/>
      <name val="Calibri (Body)"/>
    </font>
    <font>
      <sz val="22"/>
      <color theme="1"/>
      <name val="Calibri"/>
      <family val="2"/>
      <scheme val="minor"/>
    </font>
    <font>
      <b/>
      <sz val="26"/>
      <color theme="1"/>
      <name val="Calibri"/>
      <family val="2"/>
      <scheme val="minor"/>
    </font>
    <font>
      <sz val="28"/>
      <color theme="1"/>
      <name val="Calibri"/>
      <family val="2"/>
      <scheme val="minor"/>
    </font>
    <font>
      <sz val="36"/>
      <color theme="1"/>
      <name val="Times New Roman"/>
      <family val="1"/>
    </font>
    <font>
      <sz val="28"/>
      <color theme="1"/>
      <name val="Times New Roman"/>
      <family val="1"/>
    </font>
    <font>
      <sz val="72"/>
      <color theme="1"/>
      <name val="Times New Roman"/>
      <family val="1"/>
    </font>
  </fonts>
  <fills count="4">
    <fill>
      <patternFill patternType="none"/>
    </fill>
    <fill>
      <patternFill patternType="gray125"/>
    </fill>
    <fill>
      <patternFill patternType="solid">
        <fgColor theme="8"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35">
    <xf numFmtId="0" fontId="0" fillId="0" borderId="0" xfId="0"/>
    <xf numFmtId="14" fontId="0" fillId="0" borderId="0" xfId="0" applyNumberFormat="1"/>
    <xf numFmtId="0" fontId="0" fillId="0" borderId="0" xfId="0" applyAlignment="1">
      <alignment wrapText="1"/>
    </xf>
    <xf numFmtId="0" fontId="1" fillId="0" borderId="0" xfId="0" applyFont="1"/>
    <xf numFmtId="0" fontId="2" fillId="0" borderId="0" xfId="0" applyFont="1"/>
    <xf numFmtId="1" fontId="0" fillId="0" borderId="0" xfId="0" applyNumberFormat="1"/>
    <xf numFmtId="1" fontId="0" fillId="0" borderId="0" xfId="0" applyNumberFormat="1" applyAlignment="1">
      <alignment wrapText="1"/>
    </xf>
    <xf numFmtId="9" fontId="2" fillId="0" borderId="0" xfId="0" applyNumberFormat="1" applyFont="1"/>
    <xf numFmtId="9" fontId="0" fillId="0" borderId="0" xfId="0" applyNumberFormat="1"/>
    <xf numFmtId="0" fontId="4" fillId="0" borderId="0" xfId="0" applyFont="1"/>
    <xf numFmtId="0" fontId="5" fillId="0" borderId="0" xfId="0" applyFont="1"/>
    <xf numFmtId="0" fontId="5" fillId="0" borderId="0" xfId="0" applyFont="1" applyAlignment="1">
      <alignment horizontal="center"/>
    </xf>
    <xf numFmtId="0" fontId="0" fillId="0" borderId="0" xfId="0" pivotButton="1"/>
    <xf numFmtId="0" fontId="0" fillId="0" borderId="0" xfId="0" applyAlignment="1">
      <alignment horizontal="left"/>
    </xf>
    <xf numFmtId="0" fontId="7" fillId="0" borderId="0" xfId="0" applyFont="1"/>
    <xf numFmtId="0" fontId="8" fillId="3" borderId="0" xfId="0" applyFont="1" applyFill="1"/>
    <xf numFmtId="11" fontId="9" fillId="0" borderId="0" xfId="0" applyNumberFormat="1" applyFont="1"/>
    <xf numFmtId="0" fontId="6" fillId="0" borderId="0" xfId="0" applyFont="1"/>
    <xf numFmtId="0" fontId="10" fillId="0" borderId="0" xfId="0" applyFont="1"/>
    <xf numFmtId="0" fontId="11" fillId="0" borderId="0" xfId="0" applyFont="1"/>
    <xf numFmtId="0" fontId="9" fillId="0" borderId="0" xfId="0" applyFont="1"/>
    <xf numFmtId="0" fontId="12" fillId="0" borderId="0" xfId="0" applyFont="1"/>
    <xf numFmtId="0" fontId="3" fillId="0" borderId="0" xfId="0" applyFont="1"/>
    <xf numFmtId="0" fontId="13" fillId="0" borderId="0" xfId="0" applyFont="1"/>
    <xf numFmtId="0" fontId="15" fillId="0" borderId="0" xfId="0" applyFont="1"/>
    <xf numFmtId="0" fontId="17" fillId="0" borderId="0" xfId="0" applyFont="1"/>
    <xf numFmtId="0" fontId="16" fillId="0" borderId="0" xfId="0" applyFont="1"/>
    <xf numFmtId="0" fontId="9" fillId="0" borderId="0" xfId="0" applyFont="1" applyAlignment="1">
      <alignment horizontal="center"/>
    </xf>
    <xf numFmtId="0" fontId="18" fillId="0" borderId="0" xfId="0" applyFont="1" applyAlignment="1">
      <alignment horizontal="center" wrapText="1"/>
    </xf>
    <xf numFmtId="0" fontId="16" fillId="0" borderId="0" xfId="0" applyFont="1" applyAlignment="1">
      <alignment horizontal="center"/>
    </xf>
    <xf numFmtId="0" fontId="5" fillId="2" borderId="0" xfId="0" applyFont="1" applyFill="1" applyAlignment="1">
      <alignment horizontal="center"/>
    </xf>
    <xf numFmtId="0" fontId="14" fillId="2" borderId="0" xfId="0" applyFont="1" applyFill="1" applyAlignment="1">
      <alignment horizontal="center"/>
    </xf>
    <xf numFmtId="0" fontId="14" fillId="2" borderId="0" xfId="0" applyFont="1" applyFill="1" applyAlignment="1">
      <alignment horizontal="center" wrapText="1"/>
    </xf>
    <xf numFmtId="11" fontId="9" fillId="0" borderId="0" xfId="0" applyNumberFormat="1" applyFont="1" applyAlignment="1">
      <alignment horizontal="center"/>
    </xf>
    <xf numFmtId="0" fontId="0" fillId="0" borderId="0" xfId="0" applyNumberFormat="1"/>
  </cellXfs>
  <cellStyles count="1">
    <cellStyle name="Normal" xfId="0" builtinId="0"/>
  </cellStyles>
  <dxfs count="20">
    <dxf>
      <font>
        <color rgb="FF006100"/>
      </font>
      <fill>
        <patternFill>
          <bgColor rgb="FFC6EFCE"/>
        </patternFill>
      </fill>
    </dxf>
    <dxf>
      <font>
        <color rgb="FF9C5700"/>
      </font>
      <fill>
        <patternFill patternType="solid">
          <bgColor theme="7"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13" formatCode="0%"/>
    </dxf>
    <dxf>
      <numFmt numFmtId="19" formatCode="yyyy/mm/dd"/>
    </dxf>
    <dxf>
      <numFmt numFmtId="0" formatCode="General"/>
    </dxf>
    <dxf>
      <numFmt numFmtId="0" formatCode="General"/>
    </dxf>
    <dxf>
      <numFmt numFmtId="1" formatCode="0"/>
    </dxf>
    <dxf>
      <numFmt numFmtId="164" formatCode="m/d/yyyy"/>
    </dxf>
    <dxf>
      <numFmt numFmtId="164" formatCode="m/d/yyyy"/>
    </dxf>
    <dxf>
      <numFmt numFmtId="1" formatCode="0"/>
    </dxf>
    <dxf>
      <numFmt numFmtId="164" formatCode="m/d/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Medium9">
    <tableStyle name="DEF" pivot="0" table="0" count="10" xr9:uid="{BADB9614-6933-4C40-8CB0-4A381FB95F29}">
      <tableStyleElement type="wholeTable" dxfId="19"/>
      <tableStyleElement type="headerRow" dxfId="18"/>
    </tableStyle>
    <tableStyle name="NEW" pivot="0" table="0" count="10" xr9:uid="{152EBB82-D13E-9C4D-B566-3514C56D541E}">
      <tableStyleElement type="wholeTable" dxfId="17"/>
      <tableStyleElement type="headerRow" dxfId="1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EF">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[Transport_Project.xlsx]Pivot_Data!Risks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4000">
                <a:latin typeface="Times New Roman" panose="02020603050405020304" pitchFamily="18" charset="0"/>
                <a:cs typeface="Times New Roman" panose="02020603050405020304" pitchFamily="18" charset="0"/>
              </a:rPr>
              <a:t>Risks</a:t>
            </a:r>
            <a:r>
              <a:rPr lang="en-US" sz="4000" baseline="0">
                <a:latin typeface="Times New Roman" panose="02020603050405020304" pitchFamily="18" charset="0"/>
                <a:cs typeface="Times New Roman" panose="02020603050405020304" pitchFamily="18" charset="0"/>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16307798724951E-2"/>
          <c:y val="0.13109097937964181"/>
          <c:w val="0.88026239698913189"/>
          <c:h val="0.78266529953941"/>
        </c:manualLayout>
      </c:layout>
      <c:barChart>
        <c:barDir val="bar"/>
        <c:grouping val="clustered"/>
        <c:varyColors val="0"/>
        <c:ser>
          <c:idx val="0"/>
          <c:order val="0"/>
          <c:tx>
            <c:strRef>
              <c:f>Pivot_Data!$C$2</c:f>
              <c:strCache>
                <c:ptCount val="1"/>
                <c:pt idx="0">
                  <c:v>Total</c:v>
                </c:pt>
              </c:strCache>
            </c:strRef>
          </c:tx>
          <c:spPr>
            <a:solidFill>
              <a:schemeClr val="accent1"/>
            </a:solidFill>
            <a:ln>
              <a:noFill/>
            </a:ln>
            <a:effectLst/>
          </c:spPr>
          <c:invertIfNegative val="0"/>
          <c:cat>
            <c:strRef>
              <c:f>Pivot_Data!$B$3:$B$9</c:f>
              <c:strCache>
                <c:ptCount val="6"/>
                <c:pt idx="0">
                  <c:v>Finance</c:v>
                </c:pt>
                <c:pt idx="1">
                  <c:v>IT</c:v>
                </c:pt>
                <c:pt idx="2">
                  <c:v>Operational</c:v>
                </c:pt>
                <c:pt idx="3">
                  <c:v>Projects</c:v>
                </c:pt>
                <c:pt idx="4">
                  <c:v>Reputation</c:v>
                </c:pt>
                <c:pt idx="5">
                  <c:v>Safety</c:v>
                </c:pt>
              </c:strCache>
            </c:strRef>
          </c:cat>
          <c:val>
            <c:numRef>
              <c:f>Pivot_Data!$C$3:$C$9</c:f>
              <c:numCache>
                <c:formatCode>General</c:formatCode>
                <c:ptCount val="6"/>
                <c:pt idx="0">
                  <c:v>4</c:v>
                </c:pt>
                <c:pt idx="1">
                  <c:v>4</c:v>
                </c:pt>
                <c:pt idx="2">
                  <c:v>4</c:v>
                </c:pt>
                <c:pt idx="3">
                  <c:v>2</c:v>
                </c:pt>
                <c:pt idx="4">
                  <c:v>7</c:v>
                </c:pt>
                <c:pt idx="5">
                  <c:v>6</c:v>
                </c:pt>
              </c:numCache>
            </c:numRef>
          </c:val>
          <c:extLst>
            <c:ext xmlns:c16="http://schemas.microsoft.com/office/drawing/2014/chart" uri="{C3380CC4-5D6E-409C-BE32-E72D297353CC}">
              <c16:uniqueId val="{00000000-3A37-A642-95A4-A5C3AE3DFA6A}"/>
            </c:ext>
          </c:extLst>
        </c:ser>
        <c:dLbls>
          <c:showLegendKey val="0"/>
          <c:showVal val="0"/>
          <c:showCatName val="0"/>
          <c:showSerName val="0"/>
          <c:showPercent val="0"/>
          <c:showBubbleSize val="0"/>
        </c:dLbls>
        <c:gapWidth val="182"/>
        <c:axId val="298762448"/>
        <c:axId val="1681425264"/>
      </c:barChart>
      <c:catAx>
        <c:axId val="29876244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681425264"/>
        <c:crosses val="autoZero"/>
        <c:auto val="1"/>
        <c:lblAlgn val="ctr"/>
        <c:lblOffset val="100"/>
        <c:noMultiLvlLbl val="0"/>
      </c:catAx>
      <c:valAx>
        <c:axId val="1681425264"/>
        <c:scaling>
          <c:orientation val="minMax"/>
          <c:max val="3"/>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98762448"/>
        <c:crosses val="autoZero"/>
        <c:crossBetween val="between"/>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[Transport_Project.xlsx]Pivot_Data!PivotTable3</c:name>
    <c:fmtId val="5"/>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4000">
                <a:latin typeface="Times New Roman" panose="02020603050405020304" pitchFamily="18" charset="0"/>
                <a:cs typeface="Times New Roman" panose="02020603050405020304" pitchFamily="18" charset="0"/>
              </a:rPr>
              <a:t>Risks by Business Unit</a:t>
            </a:r>
          </a:p>
        </c:rich>
      </c:tx>
      <c:layout>
        <c:manualLayout>
          <c:xMode val="edge"/>
          <c:yMode val="edge"/>
          <c:x val="0.27099098964581381"/>
          <c:y val="3.945206160320338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4105027462297"/>
          <c:y val="0.16386635684024417"/>
          <c:w val="0.87499591756605422"/>
          <c:h val="0.78710679993696597"/>
        </c:manualLayout>
      </c:layout>
      <c:barChart>
        <c:barDir val="bar"/>
        <c:grouping val="clustered"/>
        <c:varyColors val="0"/>
        <c:ser>
          <c:idx val="0"/>
          <c:order val="0"/>
          <c:tx>
            <c:strRef>
              <c:f>Pivot_Data!$F$2</c:f>
              <c:strCache>
                <c:ptCount val="1"/>
                <c:pt idx="0">
                  <c:v>Total</c:v>
                </c:pt>
              </c:strCache>
            </c:strRef>
          </c:tx>
          <c:spPr>
            <a:solidFill>
              <a:schemeClr val="accent1"/>
            </a:solidFill>
            <a:ln>
              <a:noFill/>
            </a:ln>
            <a:effectLst/>
          </c:spPr>
          <c:invertIfNegative val="0"/>
          <c:cat>
            <c:strRef>
              <c:f>Pivot_Data!$E$3:$E$8</c:f>
              <c:strCache>
                <c:ptCount val="5"/>
                <c:pt idx="0">
                  <c:v>Bus Ops</c:v>
                </c:pt>
                <c:pt idx="1">
                  <c:v>Capital Projects</c:v>
                </c:pt>
                <c:pt idx="2">
                  <c:v>Customer Experience</c:v>
                </c:pt>
                <c:pt idx="3">
                  <c:v>GO Ops</c:v>
                </c:pt>
                <c:pt idx="4">
                  <c:v>Office of CRO</c:v>
                </c:pt>
              </c:strCache>
            </c:strRef>
          </c:cat>
          <c:val>
            <c:numRef>
              <c:f>Pivot_Data!$F$3:$F$8</c:f>
              <c:numCache>
                <c:formatCode>General</c:formatCode>
                <c:ptCount val="5"/>
                <c:pt idx="0">
                  <c:v>1</c:v>
                </c:pt>
                <c:pt idx="1">
                  <c:v>2</c:v>
                </c:pt>
                <c:pt idx="2">
                  <c:v>5</c:v>
                </c:pt>
                <c:pt idx="3">
                  <c:v>2</c:v>
                </c:pt>
                <c:pt idx="4">
                  <c:v>4</c:v>
                </c:pt>
              </c:numCache>
            </c:numRef>
          </c:val>
          <c:extLst>
            <c:ext xmlns:c16="http://schemas.microsoft.com/office/drawing/2014/chart" uri="{C3380CC4-5D6E-409C-BE32-E72D297353CC}">
              <c16:uniqueId val="{00000000-CC4C-8D44-B9BA-671D243EC798}"/>
            </c:ext>
          </c:extLst>
        </c:ser>
        <c:dLbls>
          <c:showLegendKey val="0"/>
          <c:showVal val="0"/>
          <c:showCatName val="0"/>
          <c:showSerName val="0"/>
          <c:showPercent val="0"/>
          <c:showBubbleSize val="0"/>
        </c:dLbls>
        <c:gapWidth val="182"/>
        <c:axId val="1407296736"/>
        <c:axId val="1407621296"/>
      </c:barChart>
      <c:catAx>
        <c:axId val="140729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07621296"/>
        <c:crosses val="autoZero"/>
        <c:auto val="1"/>
        <c:lblAlgn val="ctr"/>
        <c:lblOffset val="100"/>
        <c:noMultiLvlLbl val="0"/>
      </c:catAx>
      <c:valAx>
        <c:axId val="140762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407296736"/>
        <c:crosses val="autoZero"/>
        <c:crossBetween val="between"/>
        <c:majorUnit val="1"/>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232567</xdr:colOff>
      <xdr:row>18</xdr:row>
      <xdr:rowOff>158095</xdr:rowOff>
    </xdr:from>
    <xdr:to>
      <xdr:col>6</xdr:col>
      <xdr:colOff>118835</xdr:colOff>
      <xdr:row>35</xdr:row>
      <xdr:rowOff>124278</xdr:rowOff>
    </xdr:to>
    <xdr:graphicFrame macro="">
      <xdr:nvGraphicFramePr>
        <xdr:cNvPr id="7" name="Chart 6">
          <a:extLst>
            <a:ext uri="{FF2B5EF4-FFF2-40B4-BE49-F238E27FC236}">
              <a16:creationId xmlns:a16="http://schemas.microsoft.com/office/drawing/2014/main" id="{AD5CB5BE-F833-B948-AC19-35E8E3F9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18</xdr:row>
      <xdr:rowOff>177801</xdr:rowOff>
    </xdr:from>
    <xdr:to>
      <xdr:col>17</xdr:col>
      <xdr:colOff>159657</xdr:colOff>
      <xdr:row>35</xdr:row>
      <xdr:rowOff>177800</xdr:rowOff>
    </xdr:to>
    <xdr:graphicFrame macro="">
      <xdr:nvGraphicFramePr>
        <xdr:cNvPr id="8" name="Chart 7">
          <a:extLst>
            <a:ext uri="{FF2B5EF4-FFF2-40B4-BE49-F238E27FC236}">
              <a16:creationId xmlns:a16="http://schemas.microsoft.com/office/drawing/2014/main" id="{909F9370-8778-0E4D-9062-C25FB44E8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264247</xdr:colOff>
      <xdr:row>4</xdr:row>
      <xdr:rowOff>278942</xdr:rowOff>
    </xdr:from>
    <xdr:to>
      <xdr:col>5</xdr:col>
      <xdr:colOff>240348</xdr:colOff>
      <xdr:row>14</xdr:row>
      <xdr:rowOff>158424</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A29CC1B5-1A79-75BD-78C3-3E6F37B70BD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35847" y="2590342"/>
              <a:ext cx="5462501" cy="3181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177968</xdr:colOff>
      <xdr:row>37</xdr:row>
      <xdr:rowOff>296908</xdr:rowOff>
    </xdr:from>
    <xdr:to>
      <xdr:col>17</xdr:col>
      <xdr:colOff>252186</xdr:colOff>
      <xdr:row>60</xdr:row>
      <xdr:rowOff>118836</xdr:rowOff>
    </xdr:to>
    <xdr:pic>
      <xdr:nvPicPr>
        <xdr:cNvPr id="15" name="Picture 14">
          <a:extLst>
            <a:ext uri="{FF2B5EF4-FFF2-40B4-BE49-F238E27FC236}">
              <a16:creationId xmlns:a16="http://schemas.microsoft.com/office/drawing/2014/main" id="{A2BD4858-BE90-7651-4E11-0319CB0472E7}"/>
            </a:ext>
          </a:extLst>
        </xdr:cNvPr>
        <xdr:cNvPicPr>
          <a:picLocks noChangeAspect="1"/>
        </xdr:cNvPicPr>
      </xdr:nvPicPr>
      <xdr:blipFill>
        <a:blip xmlns:r="http://schemas.openxmlformats.org/officeDocument/2006/relationships" r:embed="rId3"/>
        <a:stretch>
          <a:fillRect/>
        </a:stretch>
      </xdr:blipFill>
      <xdr:spPr>
        <a:xfrm>
          <a:off x="1538682" y="13042265"/>
          <a:ext cx="24541675" cy="43803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9.569968865741" createdVersion="8" refreshedVersion="8" minRefreshableVersion="3" recordCount="59" xr:uid="{20FDFD2F-034D-D343-9271-58390E9DA840}">
  <cacheSource type="worksheet">
    <worksheetSource name="tblRisks"/>
  </cacheSource>
  <cacheFields count="22">
    <cacheField name="Risk_ID" numFmtId="0">
      <sharedItems containsBlank="1"/>
    </cacheField>
    <cacheField name="Title" numFmtId="0">
      <sharedItems containsBlank="1"/>
    </cacheField>
    <cacheField name="Category" numFmtId="0">
      <sharedItems containsBlank="1" count="7">
        <s v="Operational"/>
        <s v="IT"/>
        <s v="Reputation"/>
        <s v="Safety"/>
        <s v="Finance"/>
        <s v="Projects"/>
        <m/>
      </sharedItems>
    </cacheField>
    <cacheField name="Buisness_Unit" numFmtId="0">
      <sharedItems containsBlank="1" count="10">
        <s v="Bus Ops"/>
        <s v="Corp Services "/>
        <s v="Customer Experience"/>
        <s v="Stations/Facillities "/>
        <s v="Office of CRO"/>
        <s v="GO Ops"/>
        <s v="Capital Projects"/>
        <m/>
        <s v="Corporate Services " u="1"/>
        <s v="Stations &amp; Facilities " u="1"/>
      </sharedItems>
    </cacheField>
    <cacheField name="Owner" numFmtId="0">
      <sharedItems containsBlank="1"/>
    </cacheField>
    <cacheField name="Date_Identified" numFmtId="0">
      <sharedItems containsNonDate="0" containsDate="1" containsString="0" containsBlank="1" minDate="2025-11-25T00:00:00" maxDate="2026-02-13T00:00:00"/>
    </cacheField>
    <cacheField name="Status" numFmtId="0">
      <sharedItems containsBlank="1" count="5">
        <s v="Closed"/>
        <s v="In Review"/>
        <s v="Active"/>
        <s v="New"/>
        <m/>
      </sharedItems>
    </cacheField>
    <cacheField name="Likelihood_Inherent" numFmtId="0">
      <sharedItems containsString="0" containsBlank="1" containsNumber="1" containsInteger="1" minValue="1" maxValue="5"/>
    </cacheField>
    <cacheField name="Impact_Inherent" numFmtId="0">
      <sharedItems containsString="0" containsBlank="1" containsNumber="1" containsInteger="1" minValue="1" maxValue="5"/>
    </cacheField>
    <cacheField name="Score_Inherent" numFmtId="0">
      <sharedItems containsString="0" containsBlank="1" containsNumber="1" containsInteger="1" minValue="2" maxValue="25"/>
    </cacheField>
    <cacheField name="Control_Strength" numFmtId="0">
      <sharedItems containsBlank="1"/>
    </cacheField>
    <cacheField name="Likelihood_Residual" numFmtId="0">
      <sharedItems containsString="0" containsBlank="1" containsNumber="1" containsInteger="1" minValue="1" maxValue="4"/>
    </cacheField>
    <cacheField name="Impact_residual" numFmtId="0">
      <sharedItems containsString="0" containsBlank="1" containsNumber="1" containsInteger="1" minValue="1" maxValue="4"/>
    </cacheField>
    <cacheField name="Score_residual" numFmtId="0">
      <sharedItems containsString="0" containsBlank="1" containsNumber="1" containsInteger="1" minValue="1" maxValue="16"/>
    </cacheField>
    <cacheField name="Appetite_alignment" numFmtId="0">
      <sharedItems containsBlank="1"/>
    </cacheField>
    <cacheField name="Last_review_date" numFmtId="0">
      <sharedItems containsNonDate="0" containsDate="1" containsString="0" containsBlank="1" minDate="2025-11-27T00:00:00" maxDate="2026-02-14T00:00:00"/>
    </cacheField>
    <cacheField name="Next_review_date" numFmtId="0">
      <sharedItems containsNonDate="0" containsDate="1" containsString="0" containsBlank="1" minDate="2025-12-02T00:00:00" maxDate="2026-02-24T00:00:00"/>
    </cacheField>
    <cacheField name="Days_Open" numFmtId="0">
      <sharedItems containsString="0" containsBlank="1" containsNumber="1" containsInteger="1" minValue="0" maxValue="69"/>
    </cacheField>
    <cacheField name="Is_Overdue_review" numFmtId="0">
      <sharedItems containsBlank="1"/>
    </cacheField>
    <cacheField name="Risk_Source" numFmtId="0">
      <sharedItems containsBlank="1"/>
    </cacheField>
    <cacheField name="Key_Controls" numFmtId="0">
      <sharedItems containsBlank="1"/>
    </cacheField>
    <cacheField name="MItigation_Summary" numFmtId="0">
      <sharedItems containsBlank="1"/>
    </cacheField>
  </cacheFields>
  <extLst>
    <ext xmlns:x14="http://schemas.microsoft.com/office/spreadsheetml/2009/9/main" uri="{725AE2AE-9491-48be-B2B4-4EB974FC3084}">
      <x14:pivotCacheDefinition pivotCacheId="19854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RSK-2025-0001"/>
    <s v="Service Disruption due to Weather"/>
    <x v="0"/>
    <x v="0"/>
    <s v="Customer Communications Manager"/>
    <d v="2025-11-25T00:00:00"/>
    <x v="0"/>
    <n v="4"/>
    <n v="2"/>
    <n v="8"/>
    <s v="Weak"/>
    <n v="4"/>
    <n v="1"/>
    <n v="4"/>
    <s v="Within"/>
    <d v="2025-11-27T00:00:00"/>
    <d v="2025-12-02T00:00:00"/>
    <n v="2"/>
    <b v="0"/>
    <s v="Ops Meeting"/>
    <s v="Weather monitoring; service recovery procedures"/>
    <s v="Improve severe weather response and ensure adequate resource coverage during storms."/>
  </r>
  <r>
    <s v="RSK-2025-0002"/>
    <s v="Cybersecurity Vulnerabilities   "/>
    <x v="1"/>
    <x v="1"/>
    <s v="Cybersecurity Manager"/>
    <d v="2025-11-25T00:00:00"/>
    <x v="0"/>
    <n v="3"/>
    <n v="5"/>
    <n v="15"/>
    <s v="Strong"/>
    <n v="2"/>
    <n v="2"/>
    <n v="4"/>
    <s v="Within"/>
    <d v="2025-11-28T00:00:00"/>
    <d v="2025-12-02T00:00:00"/>
    <n v="3"/>
    <b v="0"/>
    <s v="Audit"/>
    <s v="MFA; vulnerability scanning; security monitoring"/>
    <s v="Address critical vulnerabilities and strengthen security monitoring and evaluate management timelines."/>
  </r>
  <r>
    <s v="RSK-2025-0003"/>
    <s v="Equipment failure limits facility accessibility"/>
    <x v="2"/>
    <x v="2"/>
    <s v="Accessibility Program Manager"/>
    <d v="2025-11-26T00:00:00"/>
    <x v="0"/>
    <n v="1"/>
    <n v="4"/>
    <n v="4"/>
    <s v="Moderate"/>
    <n v="3"/>
    <n v="2"/>
    <n v="6"/>
    <s v="Within"/>
    <d v="2025-12-05T00:00:00"/>
    <d v="2025-12-03T00:00:00"/>
    <n v="9"/>
    <b v="0"/>
    <s v="Incident"/>
    <s v="Preventative maintenance; vendor escalation process"/>
    <s v="Prioritize accessibility equipment repairs and improve vendor response time tracking."/>
  </r>
  <r>
    <s v="RSK-2025-0004"/>
    <s v="Service Disruption due to Weather"/>
    <x v="0"/>
    <x v="3"/>
    <s v="Supervisor, Stations &amp; Facilities"/>
    <d v="2025-11-28T00:00:00"/>
    <x v="0"/>
    <n v="4"/>
    <n v="2"/>
    <n v="8"/>
    <s v="Weak"/>
    <n v="1"/>
    <n v="1"/>
    <n v="1"/>
    <s v="Within"/>
    <d v="2025-12-02T00:00:00"/>
    <d v="2025-12-05T00:00:00"/>
    <n v="4"/>
    <b v="0"/>
    <s v="Ops Meeting"/>
    <s v="Winter maintenance; incident response procedures"/>
    <s v="Strengthen winter readiness and ensure station teams follow standardized disruption protocols."/>
  </r>
  <r>
    <s v="RSK-2025-0005"/>
    <s v="Slip hazard due to Winter Condition"/>
    <x v="3"/>
    <x v="3"/>
    <s v="Stations Maintenance Lead"/>
    <d v="2025-11-28T00:00:00"/>
    <x v="0"/>
    <n v="3"/>
    <n v="3"/>
    <n v="9"/>
    <s v="Weak"/>
    <n v="1"/>
    <n v="1"/>
    <n v="1"/>
    <s v="Within"/>
    <d v="2025-12-02T00:00:00"/>
    <d v="2025-12-02T00:00:00"/>
    <n v="4"/>
    <b v="0"/>
    <s v="Incident"/>
    <s v="Salt/grit procedures; safety inspections"/>
    <s v="Increase winter inspections and standardize hazard reporting and follow-up."/>
  </r>
  <r>
    <s v="RSK-2025-0006"/>
    <s v="Maintenance Request Delay"/>
    <x v="0"/>
    <x v="3"/>
    <s v="Supervisor, Stations &amp; Facilities"/>
    <d v="2025-12-01T00:00:00"/>
    <x v="0"/>
    <n v="3"/>
    <n v="3"/>
    <n v="9"/>
    <s v="Moderate"/>
    <n v="2"/>
    <n v="2"/>
    <n v="4"/>
    <s v="Within"/>
    <d v="2025-12-04T00:00:00"/>
    <d v="2025-12-04T00:00:00"/>
    <n v="3"/>
    <b v="0"/>
    <s v="Staff Report"/>
    <s v="Work order process; triage procedures"/>
    <s v="Prioritize work orders more effectively and monitor maintenance request response time KPIs."/>
  </r>
  <r>
    <s v="RSK-2025-0007"/>
    <s v="Systems Integration Delays Resulting in Duplicate Requests "/>
    <x v="1"/>
    <x v="1"/>
    <s v="IT Operations Lead"/>
    <d v="2025-12-02T00:00:00"/>
    <x v="0"/>
    <n v="2"/>
    <n v="2"/>
    <n v="4"/>
    <s v="Moderate"/>
    <n v="1"/>
    <n v="1"/>
    <n v="1"/>
    <s v="Within"/>
    <d v="2025-12-09T00:00:00"/>
    <d v="2025-12-09T00:00:00"/>
    <n v="7"/>
    <b v="0"/>
    <s v="Project Review"/>
    <s v="Change management; system testing procedures"/>
    <s v="Enhance integration testing and put restrictions in place to cut down on the number of duplicate requests."/>
  </r>
  <r>
    <s v="RSK-2026-0027"/>
    <s v="Stakeholder Dissatisfaction Following Project Delays"/>
    <x v="4"/>
    <x v="4"/>
    <s v="Senior Manager, Risk Advisory"/>
    <d v="2026-02-12T00:00:00"/>
    <x v="1"/>
    <n v="2"/>
    <n v="5"/>
    <n v="10"/>
    <s v="Moderate"/>
    <n v="4"/>
    <n v="4"/>
    <n v="16"/>
    <s v="Outside"/>
    <d v="2026-02-12T00:00:00"/>
    <d v="2026-02-19T00:00:00"/>
    <n v="0"/>
    <b v="0"/>
    <s v="Project Review"/>
    <s v="Project governance; schedule oversight"/>
    <s v="Improve stakeholder communications and implement escalation triggers for project delay impacts."/>
  </r>
  <r>
    <s v="RSK-2025-0009"/>
    <s v="Service Delays leading to Customer Dissatisfaction "/>
    <x v="2"/>
    <x v="2"/>
    <s v="Customer Communications Manager"/>
    <d v="2025-12-05T00:00:00"/>
    <x v="0"/>
    <n v="3"/>
    <n v="3"/>
    <n v="9"/>
    <s v="Weak"/>
    <n v="1"/>
    <n v="1"/>
    <n v="1"/>
    <s v="Within"/>
    <d v="2025-12-12T00:00:00"/>
    <d v="2025-12-12T00:00:00"/>
    <n v="7"/>
    <b v="0"/>
    <s v="Ops Meeting"/>
    <s v="Service alerts; operational recovery protocols"/>
    <s v="Improve disruption communications and improve consistency of service recovery."/>
  </r>
  <r>
    <s v="RSK-2026-0016"/>
    <s v="Scope Creep leads to Stakeholder Concern"/>
    <x v="4"/>
    <x v="4"/>
    <s v="Senior Manager, Risk Advisory"/>
    <d v="2026-01-07T00:00:00"/>
    <x v="1"/>
    <n v="3"/>
    <n v="5"/>
    <n v="15"/>
    <s v="Moderate"/>
    <n v="4"/>
    <n v="3"/>
    <n v="12"/>
    <s v="Borderline"/>
    <d v="2026-02-11T00:00:00"/>
    <d v="2026-02-18T00:00:00"/>
    <n v="35"/>
    <b v="0"/>
    <s v="Project Review"/>
    <s v="Stakeholder governance; change control process"/>
    <s v="Improve scope management and ensure stakeholder alignment through standardized change control."/>
  </r>
  <r>
    <s v="RSK-2025-0011"/>
    <s v="Equipment Failure causes Service Disruptions"/>
    <x v="3"/>
    <x v="3"/>
    <s v="Safety Program Lead"/>
    <d v="2025-12-11T00:00:00"/>
    <x v="0"/>
    <n v="2"/>
    <n v="4"/>
    <n v="8"/>
    <s v="Moderate"/>
    <n v="3"/>
    <n v="2"/>
    <n v="6"/>
    <s v="Within"/>
    <d v="2025-12-18T00:00:00"/>
    <d v="2025-12-18T00:00:00"/>
    <n v="7"/>
    <b v="0"/>
    <s v="Incident"/>
    <s v="Preventative maintenance; safety checks"/>
    <s v="Reduce equipment failures through enhanced preventative maintenance tracking and recurring issue analysis."/>
  </r>
  <r>
    <s v="RSK-2026-0026"/>
    <s v="Data Access Issues Following Staff Turnover"/>
    <x v="1"/>
    <x v="1"/>
    <s v="IT Operations Lead"/>
    <d v="2026-02-09T00:00:00"/>
    <x v="1"/>
    <n v="2"/>
    <n v="4"/>
    <n v="8"/>
    <s v="Strong"/>
    <n v="2"/>
    <n v="3"/>
    <n v="6"/>
    <s v="Within"/>
    <d v="2026-02-09T00:00:00"/>
    <d v="2026-02-16T00:00:00"/>
    <n v="0"/>
    <b v="0"/>
    <s v="Incident"/>
    <s v="Access management process; onboarding/offboarding controls"/>
    <s v="Improve access provisioning controls and ensure timely access removal following staff turnover."/>
  </r>
  <r>
    <s v="RSK-2026-0013"/>
    <s v="Customer Dissatisfaction following Maintenance Delays"/>
    <x v="2"/>
    <x v="5"/>
    <s v="Customer Communications Manager"/>
    <d v="2025-12-31T00:00:00"/>
    <x v="0"/>
    <n v="2"/>
    <n v="3"/>
    <n v="6"/>
    <s v="Weak"/>
    <n v="1"/>
    <n v="1"/>
    <n v="1"/>
    <s v="Within"/>
    <d v="2026-01-07T00:00:00"/>
    <d v="2026-01-07T00:00:00"/>
    <n v="7"/>
    <b v="0"/>
    <s v="Staff Report"/>
    <s v="Maintenance triage; customer communications process"/>
    <s v="Improve maintenance scheduling transparency and strengthen customer-facing updates."/>
  </r>
  <r>
    <s v="RSK-2026-0014"/>
    <s v="Trip Hazard due to facility Upgrades "/>
    <x v="3"/>
    <x v="3"/>
    <s v="Safety Program Lead"/>
    <d v="2026-01-01T00:00:00"/>
    <x v="0"/>
    <n v="1"/>
    <n v="4"/>
    <n v="4"/>
    <s v="Strong"/>
    <n v="4"/>
    <n v="1"/>
    <n v="4"/>
    <s v="Within"/>
    <d v="2026-01-08T00:00:00"/>
    <d v="2026-01-08T00:00:00"/>
    <n v="7"/>
    <b v="0"/>
    <s v="Incident"/>
    <s v="Safety signage; work zone procedures"/>
    <s v="Strengthen work zone safety controls and ensure consistent signage and hazard checks."/>
  </r>
  <r>
    <s v="RSK-2026-0015"/>
    <s v="Communications Delays leading to Customer Dissatisfaction"/>
    <x v="2"/>
    <x v="2"/>
    <s v="Customer Communications Manager"/>
    <d v="2026-01-05T00:00:00"/>
    <x v="0"/>
    <n v="2"/>
    <n v="2"/>
    <n v="4"/>
    <s v="Strong"/>
    <n v="1"/>
    <n v="1"/>
    <n v="1"/>
    <s v="Within"/>
    <d v="2026-01-12T00:00:00"/>
    <d v="2026-01-12T00:00:00"/>
    <n v="7"/>
    <b v="0"/>
    <s v="Ops Meeting"/>
    <s v="Alert protocols; escalation procedures"/>
    <s v="Improve timeliness of customer communications during disruptions through clearer escalation roles."/>
  </r>
  <r>
    <s v="RSK-2025-0008"/>
    <s v="Budget constraints effecting LRT timeline"/>
    <x v="4"/>
    <x v="4"/>
    <s v="Senior Manager, Risk Advisory"/>
    <d v="2025-12-02T00:00:00"/>
    <x v="2"/>
    <n v="1"/>
    <n v="3"/>
    <n v="3"/>
    <s v="Moderate"/>
    <n v="2"/>
    <n v="2"/>
    <n v="4"/>
    <s v="Within"/>
    <d v="2026-02-09T00:00:00"/>
    <d v="2025-12-16T00:00:00"/>
    <n v="69"/>
    <b v="1"/>
    <s v="Project Review"/>
    <s v="Budget oversight; governance approvals"/>
    <s v="Strengthen cost forecasting and implement early escalation for budget variance risks."/>
  </r>
  <r>
    <s v="RSK-2026-0017"/>
    <s v="Media Scrutiny Following Equipment Failure "/>
    <x v="2"/>
    <x v="2"/>
    <s v="Customer Communications Manager"/>
    <d v="2026-01-09T00:00:00"/>
    <x v="0"/>
    <n v="4"/>
    <n v="5"/>
    <n v="20"/>
    <s v="Strong"/>
    <n v="4"/>
    <n v="2"/>
    <n v="8"/>
    <s v="Within"/>
    <d v="2026-01-16T00:00:00"/>
    <d v="2026-01-16T00:00:00"/>
    <n v="7"/>
    <b v="0"/>
    <s v="Incident"/>
    <s v="Incident communications protocol; issue escalation"/>
    <s v="Improve communications preparation and ensure consistent messaging following service disruptions."/>
  </r>
  <r>
    <s v="RSK-2026-0018"/>
    <s v="System Downtime leading to Delayed App Communications"/>
    <x v="1"/>
    <x v="1"/>
    <s v="IT Operations Lead"/>
    <d v="2026-01-12T00:00:00"/>
    <x v="0"/>
    <n v="3"/>
    <n v="2"/>
    <n v="6"/>
    <s v="Strong"/>
    <n v="3"/>
    <n v="1"/>
    <n v="3"/>
    <s v="Within"/>
    <d v="2026-01-19T00:00:00"/>
    <d v="2026-01-19T00:00:00"/>
    <n v="7"/>
    <b v="0"/>
    <s v="Incident"/>
    <s v="System monitoring; incident response procedures"/>
    <s v="Improve system uptime through proactive monitoring and standardized incident response escalation."/>
  </r>
  <r>
    <s v="RSK-2026-0019"/>
    <s v="Budget Constraints Limiting Planned  Facility Upgrades"/>
    <x v="4"/>
    <x v="4"/>
    <s v="Senior Manager, Risk Advisory"/>
    <d v="2026-01-12T00:00:00"/>
    <x v="0"/>
    <n v="2"/>
    <n v="3"/>
    <n v="6"/>
    <s v="Moderate"/>
    <n v="1"/>
    <n v="2"/>
    <n v="2"/>
    <s v="Within"/>
    <d v="2026-01-19T00:00:00"/>
    <d v="2026-01-19T00:00:00"/>
    <n v="7"/>
    <b v="0"/>
    <s v="Project Review"/>
    <s v="Budget monitoring; variance reporting"/>
    <s v="Improve cost tracking and implement early escalation for budget risks impacting facility upgrades."/>
  </r>
  <r>
    <s v="RSK-2026-0020"/>
    <s v="Station Closure due to Electrical Hazard"/>
    <x v="0"/>
    <x v="3"/>
    <s v="Supervisor, Stations &amp; Facilities"/>
    <d v="2026-01-14T00:00:00"/>
    <x v="0"/>
    <n v="5"/>
    <n v="5"/>
    <n v="25"/>
    <s v="Weak"/>
    <n v="2"/>
    <n v="2"/>
    <n v="4"/>
    <s v="Within"/>
    <d v="2026-01-21T00:00:00"/>
    <d v="2026-01-21T00:00:00"/>
    <n v="7"/>
    <b v="0"/>
    <s v="Incident"/>
    <s v="Electrical inspections; safety response procedures"/>
    <s v="Reduce likelihood of electrical hazards through preventative inspections and response readiness."/>
  </r>
  <r>
    <s v="RSK-2025-0010"/>
    <s v="Construction Delays impacting Accessibility Projects"/>
    <x v="5"/>
    <x v="6"/>
    <s v="Accessibility Program Manager"/>
    <d v="2025-12-09T00:00:00"/>
    <x v="2"/>
    <n v="2"/>
    <n v="4"/>
    <n v="8"/>
    <s v="Weak"/>
    <n v="2"/>
    <n v="2"/>
    <n v="4"/>
    <s v="Within"/>
    <d v="2025-12-16T00:00:00"/>
    <d v="2026-02-23T00:00:00"/>
    <n v="7"/>
    <b v="0"/>
    <s v="Project Review"/>
    <s v="Project schedules; contractor oversight"/>
    <s v="Improve contractor performance tracking and implement escalation triggers for potential slippage."/>
  </r>
  <r>
    <s v="RSK-2025-0012"/>
    <s v="Delays in Project Progression due to insufficient Documentation"/>
    <x v="5"/>
    <x v="6"/>
    <s v="Project Controls Manager"/>
    <d v="2025-12-29T00:00:00"/>
    <x v="2"/>
    <n v="2"/>
    <n v="3"/>
    <n v="6"/>
    <s v="Strong"/>
    <n v="1"/>
    <n v="2"/>
    <n v="2"/>
    <s v="Within"/>
    <d v="2026-02-09T00:00:00"/>
    <d v="2026-02-16T00:00:00"/>
    <n v="42"/>
    <b v="0"/>
    <s v="Audit"/>
    <s v="Documentation standards; project governance reviews"/>
    <s v="Standardize documentation templates and enforce tighter deadlines."/>
  </r>
  <r>
    <s v="RSK-2026-0023"/>
    <s v="Customer Dissatisfaction due to Station Uncleanliness"/>
    <x v="2"/>
    <x v="3"/>
    <s v="Supervisor, Stations &amp; Facilities"/>
    <d v="2026-01-21T00:00:00"/>
    <x v="2"/>
    <n v="2"/>
    <n v="1"/>
    <n v="2"/>
    <s v="Strong"/>
    <n v="2"/>
    <n v="1"/>
    <n v="2"/>
    <s v="Within"/>
    <d v="2026-02-11T00:00:00"/>
    <d v="2026-02-18T00:00:00"/>
    <n v="21"/>
    <b v="0"/>
    <s v="Ops Meeting"/>
    <s v="Cleaning schedules; quality inspections"/>
    <s v="Improve station cleanliness tracking and implement service-level reporting for recurring issues."/>
  </r>
  <r>
    <s v="RSK-2026-0024"/>
    <s v="CCTV Outages Limiting Incident Response Capability"/>
    <x v="3"/>
    <x v="3"/>
    <s v="Supervisor, Stations &amp; Facilities"/>
    <d v="2026-01-27T00:00:00"/>
    <x v="3"/>
    <n v="2"/>
    <n v="4"/>
    <n v="8"/>
    <s v="Moderate"/>
    <n v="1"/>
    <n v="2"/>
    <n v="2"/>
    <s v="Within"/>
    <d v="2026-02-10T00:00:00"/>
    <d v="2026-02-17T00:00:00"/>
    <n v="14"/>
    <b v="0"/>
    <s v="Audit"/>
    <s v="CCTV monitoring; access controls"/>
    <s v="Improve CCTV uptime and establish escalation for outages impacting incident response."/>
  </r>
  <r>
    <s v="RSK-2026-0025"/>
    <s v="Emergency Drill Inconsistency Across Sites"/>
    <x v="3"/>
    <x v="3"/>
    <s v="Supervisor, Stations &amp; Facilities"/>
    <d v="2026-02-05T00:00:00"/>
    <x v="3"/>
    <n v="1"/>
    <n v="4"/>
    <n v="4"/>
    <s v="Strong"/>
    <n v="1"/>
    <n v="2"/>
    <n v="2"/>
    <s v="Within"/>
    <d v="2026-02-12T00:00:00"/>
    <d v="2026-02-19T00:00:00"/>
    <n v="7"/>
    <b v="0"/>
    <s v="Staff Report"/>
    <s v="Emergency preparedness program; compliance tracking"/>
    <s v="Standardize emergency drill scheduling and track completion across sites."/>
  </r>
  <r>
    <s v="RSK-2026-0021"/>
    <s v="Public Dissatisfaction Following Station Closure"/>
    <x v="2"/>
    <x v="2"/>
    <s v="Customer Communications Manager"/>
    <d v="2026-01-15T00:00:00"/>
    <x v="1"/>
    <n v="3"/>
    <n v="2"/>
    <n v="6"/>
    <s v="Weak"/>
    <n v="1"/>
    <n v="1"/>
    <n v="1"/>
    <s v="Within"/>
    <d v="2026-02-12T00:00:00"/>
    <d v="2026-02-19T00:00:00"/>
    <n v="28"/>
    <b v="0"/>
    <s v="Staff Report"/>
    <s v="Customer communication standards; issue escalation"/>
    <s v="Improve customer communications during station disruptions through standardized messaging and timelines."/>
  </r>
  <r>
    <s v="RSK-2026-0022"/>
    <s v="Trespassing Incident "/>
    <x v="3"/>
    <x v="5"/>
    <s v="Safety Program Lead"/>
    <d v="2026-01-19T00:00:00"/>
    <x v="1"/>
    <n v="1"/>
    <n v="4"/>
    <n v="4"/>
    <s v="Weak"/>
    <n v="1"/>
    <n v="1"/>
    <n v="1"/>
    <s v="Within"/>
    <d v="2026-02-13T00:00:00"/>
    <d v="2026-02-16T00:00:00"/>
    <n v="25"/>
    <b v="0"/>
    <s v="Incident"/>
    <s v="Safety patrols; incident reporting procedures"/>
    <s v="Strengthen trespassing prevention and improve reporting consistency for follow-up."/>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r>
    <m/>
    <m/>
    <x v="6"/>
    <x v="7"/>
    <m/>
    <m/>
    <x v="4"/>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6B0B6-576F-C646-892B-5155A69C1E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Business Unit">
  <location ref="E2:F8" firstHeaderRow="1" firstDataRow="1" firstDataCol="1"/>
  <pivotFields count="22">
    <pivotField dataField="1" showAll="0"/>
    <pivotField showAll="0"/>
    <pivotField showAll="0"/>
    <pivotField axis="axisRow" showAll="0">
      <items count="11">
        <item x="0"/>
        <item x="6"/>
        <item m="1" x="8"/>
        <item x="2"/>
        <item x="5"/>
        <item x="4"/>
        <item m="1" x="9"/>
        <item h="1" x="7"/>
        <item h="1" x="1"/>
        <item h="1" x="3"/>
        <item t="default"/>
      </items>
    </pivotField>
    <pivotField showAll="0"/>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3"/>
    </i>
    <i>
      <x v="4"/>
    </i>
    <i>
      <x v="5"/>
    </i>
    <i t="grand">
      <x/>
    </i>
  </rowItems>
  <colItems count="1">
    <i/>
  </colItems>
  <dataFields count="1">
    <dataField name="Count "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ED42F2-E22C-5144-93EA-C67396CAC3DB}" name="Risk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B2:C9" firstHeaderRow="1" firstDataRow="1" firstDataCol="1"/>
  <pivotFields count="22">
    <pivotField dataField="1" showAll="0"/>
    <pivotField showAll="0"/>
    <pivotField axis="axisRow" showAll="0">
      <items count="8">
        <item x="4"/>
        <item x="1"/>
        <item x="0"/>
        <item x="5"/>
        <item x="2"/>
        <item x="3"/>
        <item h="1" x="6"/>
        <item t="default"/>
      </items>
    </pivotField>
    <pivotField showAll="0"/>
    <pivotField showAll="0"/>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0439CEC-3C1C-D94C-8D27-4002EEDF3625}" sourceName="Status">
  <pivotTables>
    <pivotTable tabId="5" name="PivotTable3"/>
    <pivotTable tabId="5" name="Risks by Category"/>
  </pivotTables>
  <data>
    <tabular pivotCacheId="19854350">
      <items count="5">
        <i x="2" s="1"/>
        <i x="0" s="1"/>
        <i x="1"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EDE11536-8992-3E40-9472-19BA185D5C9E}" cache="Slicer_Status" caption="Status" style="NEW"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EE15F0-6147-4E5A-8357-B789D3CBFBEE}" name="Table2" displayName="Table2" ref="A1:A7" totalsRowShown="0">
  <autoFilter ref="A1:A7" xr:uid="{9DEE15F0-6147-4E5A-8357-B789D3CBFBEE}"/>
  <tableColumns count="1">
    <tableColumn id="1" xr3:uid="{96E85A31-5FF2-4A8E-B210-B80BC9CF88CE}"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58BE73-E36D-4AB6-96D7-C0FF58BD4AD1}" name="Table4" displayName="Table4" ref="B1:B6" totalsRowShown="0">
  <autoFilter ref="B1:B6" xr:uid="{7658BE73-E36D-4AB6-96D7-C0FF58BD4AD1}"/>
  <tableColumns count="1">
    <tableColumn id="1" xr3:uid="{A336813A-5489-4A58-93B0-38B47FD9E339}" name="Risk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5DCC0A-435B-4538-893B-E9250DB91927}" name="tblControl_Stength" displayName="tblControl_Stength" ref="C1:C4" totalsRowShown="0">
  <autoFilter ref="C1:C4" xr:uid="{B35DCC0A-435B-4538-893B-E9250DB91927}"/>
  <tableColumns count="1">
    <tableColumn id="1" xr3:uid="{88FE3E0A-A7BF-415B-A7E5-2DFE07F471A3}" name="Control_Streng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5343D1-1D05-4B13-8931-131F2F5031BB}" name="tblBuisness_Unit" displayName="tblBuisness_Unit" ref="D1:D8" totalsRowShown="0">
  <autoFilter ref="D1:D8" xr:uid="{AE5343D1-1D05-4B13-8931-131F2F5031BB}"/>
  <tableColumns count="1">
    <tableColumn id="1" xr3:uid="{D477EDF4-B18E-472F-9E8D-EEC6C2DE2E73}" name="Buisness_Uni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7D5A59-CFE9-49DE-A82E-27B27392CE94}" name="tblAction_Status" displayName="tblAction_Status" ref="E1:E5" totalsRowShown="0">
  <autoFilter ref="E1:E5" xr:uid="{357D5A59-CFE9-49DE-A82E-27B27392CE94}"/>
  <tableColumns count="1">
    <tableColumn id="1" xr3:uid="{121D93A8-AC7A-497C-B327-97CBB7C117E8}" name="Action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30FC661-12AA-46ED-B853-2C2DE07AA979}" name="tblPriority" displayName="tblPriority" ref="F1:G5" totalsRowShown="0">
  <autoFilter ref="F1:G5" xr:uid="{030FC661-12AA-46ED-B853-2C2DE07AA979}"/>
  <tableColumns count="2">
    <tableColumn id="1" xr3:uid="{607555C9-5C31-4761-9615-AE2886472774}" name="Priority"/>
    <tableColumn id="2" xr3:uid="{02DF2283-1797-4577-BB7A-6A74A175D85C}" name="Risk_Sour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8CC08-A0D7-49F6-B0CC-F42726777BDC}" name="tblRisks" displayName="tblRisks" ref="A1:V60" totalsRowShown="0">
  <autoFilter ref="A1:V60" xr:uid="{7558CC08-A0D7-49F6-B0CC-F42726777BDC}">
    <filterColumn colId="6">
      <customFilters>
        <customFilter operator="notEqual" val=" "/>
      </customFilters>
    </filterColumn>
  </autoFilter>
  <tableColumns count="22">
    <tableColumn id="1" xr3:uid="{6E4088B3-7266-4C5E-9856-40DC32E4C0CE}" name="Risk_ID"/>
    <tableColumn id="2" xr3:uid="{E905D09F-D748-43E5-B363-7F4E92BD18A3}" name="Title"/>
    <tableColumn id="3" xr3:uid="{EFE54973-1279-4E2B-B7F8-21D86CC5F673}" name="Category"/>
    <tableColumn id="4" xr3:uid="{1E1ADF42-0B2E-4710-9834-6CE213610BDC}" name="Buisness_Unit"/>
    <tableColumn id="5" xr3:uid="{2566637D-0572-42C0-8914-B2EF7264DFE5}" name="Owner"/>
    <tableColumn id="6" xr3:uid="{6ED86EA3-201F-42FB-A39B-2DC9FF920149}" name="Date_Identified" dataDxfId="15"/>
    <tableColumn id="7" xr3:uid="{8B1C409B-559D-4E1C-8801-04EEFDF6F56F}" name="Status"/>
    <tableColumn id="8" xr3:uid="{A068284B-D41B-460A-8E24-E4F77A3FFD38}" name="Likelihood_Inherent" dataDxfId="14"/>
    <tableColumn id="9" xr3:uid="{764C2A1C-6790-4607-8B49-F3160EBA187F}" name="Impact_Inherent"/>
    <tableColumn id="10" xr3:uid="{502869AD-BEFB-4A8B-8502-09B6B7AD0D35}" name="Score_Inherent">
      <calculatedColumnFormula>tblRisks[[#This Row],[Likelihood_Inherent]]*tblRisks[[#This Row],[Impact_Inherent]]</calculatedColumnFormula>
    </tableColumn>
    <tableColumn id="11" xr3:uid="{6F4FE9AD-CFCB-4CD7-8054-D3D4319D1A0D}" name="Control_Strength"/>
    <tableColumn id="23" xr3:uid="{586F8B0B-2333-43DC-8171-9E93FA5DF841}" name="Likelihood_Residual"/>
    <tableColumn id="13" xr3:uid="{ABC81489-A409-433B-A1F3-C8937C4CFB54}" name="Impact_residual"/>
    <tableColumn id="14" xr3:uid="{1F342573-6F4F-4896-AFE0-5CA6DC5018E9}" name="Score_residual">
      <calculatedColumnFormula>tblRisks[[#This Row],[Likelihood_Residual]]*tblRisks[[#This Row],[Impact_residual]]</calculatedColumnFormula>
    </tableColumn>
    <tableColumn id="16" xr3:uid="{30AD026B-58D6-4EB4-8789-D1AF0A36B210}" name="Appetite_alignment">
      <calculatedColumnFormula>IF(tblRisks[[#This Row],[Score_residual]]&gt;=15,"Outside",IF(tblRisks[[#This Row],[Score_residual]]&gt;=10,"Borderline","Within"))</calculatedColumnFormula>
    </tableColumn>
    <tableColumn id="17" xr3:uid="{E54E145C-79E7-4D26-A45A-201222B86681}" name="Last_review_date" dataDxfId="13"/>
    <tableColumn id="18" xr3:uid="{781C4F33-E6AA-4AAA-BC80-13569876F11D}" name="Next_review_date" dataDxfId="12"/>
    <tableColumn id="19" xr3:uid="{91AA977B-2A4B-4A32-B086-94969E9A8978}" name="Days_Open" dataDxfId="11">
      <calculatedColumnFormula>ABS(tblRisks[[#This Row],[Last_review_date]]-tblRisks[[#This Row],[Date_Identified]]
)</calculatedColumnFormula>
    </tableColumn>
    <tableColumn id="20" xr3:uid="{A0506A0F-93EE-47BC-9F9C-C587F692317D}" name="Is_Overdue_review">
      <calculatedColumnFormula>AND(tblRisks[[#This Row],[Status]]&lt;&gt;"Closed",tblRisks[[#This Row],[Next_review_date]]&lt;TODAY())</calculatedColumnFormula>
    </tableColumn>
    <tableColumn id="12" xr3:uid="{9A274DB6-5BC8-4A05-9C74-6D55C51BB4B9}" name="Risk_Source"/>
    <tableColumn id="15" xr3:uid="{0DED6F59-D1F1-4143-9CFE-0572555E094B}" name="Key_Controls"/>
    <tableColumn id="22" xr3:uid="{057BC096-6C79-4000-9021-45B94662001D}" name="MItigation_Summar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048397-509B-4220-8B94-48316B3A11B9}" name="tblActions" displayName="tblActions" ref="A1:L36" totalsRowShown="0">
  <autoFilter ref="A1:L36" xr:uid="{F3048397-509B-4220-8B94-48316B3A11B9}"/>
  <tableColumns count="12">
    <tableColumn id="1" xr3:uid="{6D8D11C4-3035-4A44-B3EA-F2B68EC0FF46}" name="Action_ID" dataDxfId="10">
      <calculatedColumnFormula array="1">SUBSTITUTE(INDEX(tblRisks[Risk_ID],ROW()-1),"RSK","ACT")</calculatedColumnFormula>
    </tableColumn>
    <tableColumn id="2" xr3:uid="{69150F0D-BDC7-4D1A-AABF-AA5659D0E9F0}" name="Risk_ID"/>
    <tableColumn id="3" xr3:uid="{E0CFB23E-7C62-420D-90E2-ACBDE78EDF05}" name="Action_Title"/>
    <tableColumn id="4" xr3:uid="{66488B60-8B49-4C9D-BCF3-5D06EC55A6CA}" name="Owner" dataDxfId="9">
      <calculatedColumnFormula>_xlfn.XLOOKUP(tblActions[[#This Row],[Owner]],tblRisks[Owner],tblRisks[Owner])</calculatedColumnFormula>
    </tableColumn>
    <tableColumn id="5" xr3:uid="{4A6EE73A-C991-46CC-BE55-71F6C3C57572}" name="Due_Date" dataDxfId="8">
      <calculatedColumnFormula>IFERROR(VLOOKUP(tblActions[[#This Row],[Risk_ID]], tblRisks[], MATCH("Next_review_date", tblRisks[#Headers], 0), FALSE), "")</calculatedColumnFormula>
    </tableColumn>
    <tableColumn id="6" xr3:uid="{FB1CAE54-5387-42A5-A2FD-AF762E85DFA9}" name="Status"/>
    <tableColumn id="7" xr3:uid="{D2CD2852-90BB-46AE-AA74-C77591277318}" name="Priority"/>
    <tableColumn id="8" xr3:uid="{1FF87731-11F4-4E75-A863-5E70FB6E6475}" name="Percent_Complete" dataDxfId="7"/>
    <tableColumn id="10" xr3:uid="{38F3DD0F-8A34-4D0A-9844-EBDE479FE7A7}" name="Is_Overdue" dataDxfId="6">
      <calculatedColumnFormula>IF(tblActions[[#This Row],[Status]]="Closed",FALSE,IF(tblActions[[#This Row],[Due_Date]]="",FALSE,tblActions[[#This Row],[Due_Date]]&lt;TODAY()))</calculatedColumnFormula>
    </tableColumn>
    <tableColumn id="9" xr3:uid="{FB0ED0C4-84E9-4D5A-8E22-372B04BE8246}" name="Days_Overdue" dataDxfId="5">
      <calculatedColumnFormula>IF(tblActions[[#This Row],[Status]]="Closed","",IF(tblActions[[#This Row],[Due_Date]]="","",MAX(0,TODAY()-tblActions[[#This Row],[Due_Date]])))</calculatedColumnFormula>
    </tableColumn>
    <tableColumn id="11" xr3:uid="{7027C421-A843-4F31-94BF-EB72C528694A}" name="Last_Updated"/>
    <tableColumn id="12" xr3:uid="{47C8E185-AFC1-4AF1-8EDE-32BFE024876C}" name="Not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zoomScale="116" zoomScaleNormal="116" workbookViewId="0">
      <selection activeCell="E2" activeCellId="1" sqref="J40 E2:E31"/>
    </sheetView>
  </sheetViews>
  <sheetFormatPr baseColWidth="10" defaultColWidth="8.83203125" defaultRowHeight="15" x14ac:dyDescent="0.2"/>
  <cols>
    <col min="1" max="1" width="11.5" bestFit="1" customWidth="1"/>
    <col min="2" max="2" width="13.6640625" bestFit="1" customWidth="1"/>
    <col min="3" max="3" width="18.83203125" bestFit="1" customWidth="1"/>
    <col min="4" max="4" width="20" bestFit="1" customWidth="1"/>
    <col min="5" max="5" width="15.33203125" bestFit="1" customWidth="1"/>
    <col min="6" max="6" width="10" bestFit="1" customWidth="1"/>
    <col min="7" max="7" width="14.1640625" bestFit="1" customWidth="1"/>
  </cols>
  <sheetData>
    <row r="1" spans="1:7" x14ac:dyDescent="0.2">
      <c r="A1" t="s">
        <v>0</v>
      </c>
      <c r="B1" t="s">
        <v>1</v>
      </c>
      <c r="C1" t="s">
        <v>2</v>
      </c>
      <c r="D1" t="s">
        <v>3</v>
      </c>
      <c r="E1" t="s">
        <v>4</v>
      </c>
      <c r="F1" t="s">
        <v>5</v>
      </c>
      <c r="G1" t="s">
        <v>6</v>
      </c>
    </row>
    <row r="2" spans="1:7" x14ac:dyDescent="0.2">
      <c r="A2" t="s">
        <v>7</v>
      </c>
      <c r="B2" t="s">
        <v>1</v>
      </c>
      <c r="C2" t="s">
        <v>8</v>
      </c>
      <c r="D2" t="s">
        <v>9</v>
      </c>
      <c r="E2" t="s">
        <v>10</v>
      </c>
      <c r="F2" t="s">
        <v>11</v>
      </c>
      <c r="G2" t="s">
        <v>12</v>
      </c>
    </row>
    <row r="3" spans="1:7" x14ac:dyDescent="0.2">
      <c r="A3" t="s">
        <v>13</v>
      </c>
      <c r="B3" t="s">
        <v>14</v>
      </c>
      <c r="C3" t="s">
        <v>15</v>
      </c>
      <c r="D3" t="s">
        <v>16</v>
      </c>
      <c r="E3" t="s">
        <v>17</v>
      </c>
      <c r="F3" t="s">
        <v>18</v>
      </c>
      <c r="G3" t="s">
        <v>19</v>
      </c>
    </row>
    <row r="4" spans="1:7" x14ac:dyDescent="0.2">
      <c r="A4" t="s">
        <v>20</v>
      </c>
      <c r="B4" t="s">
        <v>21</v>
      </c>
      <c r="C4" t="s">
        <v>22</v>
      </c>
      <c r="D4" t="s">
        <v>23</v>
      </c>
      <c r="E4" t="s">
        <v>24</v>
      </c>
      <c r="F4" t="s">
        <v>25</v>
      </c>
      <c r="G4" t="s">
        <v>26</v>
      </c>
    </row>
    <row r="5" spans="1:7" x14ac:dyDescent="0.2">
      <c r="A5" t="s">
        <v>27</v>
      </c>
      <c r="B5" t="s">
        <v>28</v>
      </c>
      <c r="D5" t="s">
        <v>187</v>
      </c>
      <c r="E5" t="s">
        <v>29</v>
      </c>
      <c r="F5" t="s">
        <v>30</v>
      </c>
      <c r="G5" t="s">
        <v>31</v>
      </c>
    </row>
    <row r="6" spans="1:7" x14ac:dyDescent="0.2">
      <c r="A6" t="s">
        <v>32</v>
      </c>
      <c r="B6" t="s">
        <v>33</v>
      </c>
      <c r="D6" t="s">
        <v>34</v>
      </c>
    </row>
    <row r="7" spans="1:7" x14ac:dyDescent="0.2">
      <c r="A7" t="s">
        <v>35</v>
      </c>
      <c r="D7" t="s">
        <v>186</v>
      </c>
    </row>
    <row r="8" spans="1:7" x14ac:dyDescent="0.2">
      <c r="D8" t="s">
        <v>36</v>
      </c>
    </row>
  </sheetData>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C2865-8393-4817-A75B-BB7D931898A0}">
  <dimension ref="A1:V91"/>
  <sheetViews>
    <sheetView zoomScale="50" zoomScaleNormal="125" workbookViewId="0">
      <selection activeCell="N96" sqref="N96"/>
    </sheetView>
  </sheetViews>
  <sheetFormatPr baseColWidth="10" defaultColWidth="8.83203125" defaultRowHeight="15" x14ac:dyDescent="0.2"/>
  <cols>
    <col min="1" max="1" width="14.5" bestFit="1" customWidth="1"/>
    <col min="2" max="2" width="50.33203125" bestFit="1" customWidth="1"/>
    <col min="3" max="3" width="10.5" bestFit="1" customWidth="1"/>
    <col min="4" max="4" width="20" customWidth="1"/>
    <col min="5" max="5" width="34" customWidth="1"/>
    <col min="6" max="6" width="17.5" style="1" customWidth="1"/>
    <col min="7" max="7" width="16.5" bestFit="1" customWidth="1"/>
    <col min="8" max="8" width="13.5" style="5" customWidth="1"/>
    <col min="9" max="9" width="18.5" customWidth="1"/>
    <col min="10" max="10" width="17.33203125" customWidth="1"/>
    <col min="11" max="11" width="18.83203125" customWidth="1"/>
    <col min="12" max="12" width="21.5" customWidth="1"/>
    <col min="13" max="13" width="17.83203125" customWidth="1"/>
    <col min="14" max="14" width="15" bestFit="1" customWidth="1"/>
    <col min="15" max="15" width="22.33203125" bestFit="1" customWidth="1"/>
    <col min="16" max="16" width="19.33203125" style="1" customWidth="1"/>
    <col min="17" max="17" width="20.1640625" style="1" customWidth="1"/>
    <col min="18" max="18" width="13.5" style="5" customWidth="1"/>
    <col min="19" max="19" width="21" customWidth="1"/>
    <col min="20" max="20" width="14.33203125" customWidth="1"/>
    <col min="21" max="21" width="57.5" customWidth="1"/>
    <col min="22" max="22" width="99.5" customWidth="1"/>
  </cols>
  <sheetData>
    <row r="1" spans="1:22" x14ac:dyDescent="0.2">
      <c r="A1" t="s">
        <v>37</v>
      </c>
      <c r="B1" t="s">
        <v>38</v>
      </c>
      <c r="C1" t="s">
        <v>0</v>
      </c>
      <c r="D1" t="s">
        <v>3</v>
      </c>
      <c r="E1" t="s">
        <v>39</v>
      </c>
      <c r="F1" s="1" t="s">
        <v>40</v>
      </c>
      <c r="G1" t="s">
        <v>41</v>
      </c>
      <c r="H1" s="5" t="s">
        <v>42</v>
      </c>
      <c r="I1" t="s">
        <v>43</v>
      </c>
      <c r="J1" t="s">
        <v>44</v>
      </c>
      <c r="K1" t="s">
        <v>2</v>
      </c>
      <c r="L1" t="s">
        <v>45</v>
      </c>
      <c r="M1" t="s">
        <v>46</v>
      </c>
      <c r="N1" s="15" t="s">
        <v>47</v>
      </c>
      <c r="O1" t="s">
        <v>48</v>
      </c>
      <c r="P1" s="1" t="s">
        <v>49</v>
      </c>
      <c r="Q1" t="s">
        <v>50</v>
      </c>
      <c r="R1" s="5" t="s">
        <v>51</v>
      </c>
      <c r="S1" t="s">
        <v>52</v>
      </c>
      <c r="T1" t="s">
        <v>6</v>
      </c>
      <c r="U1" t="s">
        <v>53</v>
      </c>
      <c r="V1" t="s">
        <v>54</v>
      </c>
    </row>
    <row r="2" spans="1:22" ht="14.25" customHeight="1" x14ac:dyDescent="0.2">
      <c r="A2" t="s">
        <v>55</v>
      </c>
      <c r="B2" t="s">
        <v>56</v>
      </c>
      <c r="C2" t="s">
        <v>7</v>
      </c>
      <c r="D2" t="s">
        <v>16</v>
      </c>
      <c r="E2" t="s">
        <v>57</v>
      </c>
      <c r="F2" s="1">
        <v>45986</v>
      </c>
      <c r="G2" t="s">
        <v>33</v>
      </c>
      <c r="H2" s="5">
        <v>4</v>
      </c>
      <c r="I2">
        <v>2</v>
      </c>
      <c r="J2">
        <f>tblRisks[[#This Row],[Likelihood_Inherent]]*tblRisks[[#This Row],[Impact_Inherent]]</f>
        <v>8</v>
      </c>
      <c r="K2" t="s">
        <v>8</v>
      </c>
      <c r="L2">
        <v>4</v>
      </c>
      <c r="M2">
        <v>1</v>
      </c>
      <c r="N2">
        <f>tblRisks[[#This Row],[Likelihood_Residual]]*tblRisks[[#This Row],[Impact_residual]]</f>
        <v>4</v>
      </c>
      <c r="O2" t="str">
        <f>IF(tblRisks[[#This Row],[Score_residual]]&gt;=15,"Outside",IF(tblRisks[[#This Row],[Score_residual]]&gt;=10,"Borderline","Within"))</f>
        <v>Within</v>
      </c>
      <c r="P2" s="1">
        <v>45988</v>
      </c>
      <c r="Q2" s="1">
        <v>45993</v>
      </c>
      <c r="R2" s="6">
        <f>ABS(tblRisks[[#This Row],[Last_review_date]]-tblRisks[[#This Row],[Date_Identified]]
)</f>
        <v>2</v>
      </c>
      <c r="S2" s="2" t="b">
        <f ca="1">AND(tblRisks[[#This Row],[Status]]&lt;&gt;"Closed",tblRisks[[#This Row],[Next_review_date]]&lt;TODAY())</f>
        <v>0</v>
      </c>
      <c r="T2" s="2" t="s">
        <v>19</v>
      </c>
      <c r="U2" s="2" t="s">
        <v>58</v>
      </c>
      <c r="V2" s="2" t="s">
        <v>59</v>
      </c>
    </row>
    <row r="3" spans="1:22" x14ac:dyDescent="0.2">
      <c r="A3" t="s">
        <v>60</v>
      </c>
      <c r="B3" t="s">
        <v>61</v>
      </c>
      <c r="C3" t="s">
        <v>13</v>
      </c>
      <c r="D3" t="s">
        <v>187</v>
      </c>
      <c r="E3" t="s">
        <v>62</v>
      </c>
      <c r="F3" s="1">
        <v>45986</v>
      </c>
      <c r="G3" t="s">
        <v>33</v>
      </c>
      <c r="H3" s="5">
        <v>3</v>
      </c>
      <c r="I3">
        <v>5</v>
      </c>
      <c r="J3">
        <f>tblRisks[[#This Row],[Likelihood_Inherent]]*tblRisks[[#This Row],[Impact_Inherent]]</f>
        <v>15</v>
      </c>
      <c r="K3" t="s">
        <v>22</v>
      </c>
      <c r="L3">
        <v>2</v>
      </c>
      <c r="M3">
        <v>2</v>
      </c>
      <c r="N3">
        <f>tblRisks[[#This Row],[Likelihood_Residual]]*tblRisks[[#This Row],[Impact_residual]]</f>
        <v>4</v>
      </c>
      <c r="O3" t="str">
        <f>IF(tblRisks[[#This Row],[Score_residual]]&gt;=15,"Outside",IF(tblRisks[[#This Row],[Score_residual]]&gt;=10,"Borderline","Within"))</f>
        <v>Within</v>
      </c>
      <c r="P3" s="1">
        <v>45989</v>
      </c>
      <c r="Q3" s="1">
        <v>45993</v>
      </c>
      <c r="R3" s="5">
        <f>ABS(tblRisks[[#This Row],[Last_review_date]]-tblRisks[[#This Row],[Date_Identified]]
)</f>
        <v>3</v>
      </c>
      <c r="S3" t="b">
        <f ca="1">AND(tblRisks[[#This Row],[Status]]&lt;&gt;"Closed",tblRisks[[#This Row],[Next_review_date]]&lt;TODAY())</f>
        <v>0</v>
      </c>
      <c r="T3" t="s">
        <v>63</v>
      </c>
      <c r="U3" t="s">
        <v>64</v>
      </c>
      <c r="V3" t="s">
        <v>65</v>
      </c>
    </row>
    <row r="4" spans="1:22" x14ac:dyDescent="0.2">
      <c r="A4" t="s">
        <v>66</v>
      </c>
      <c r="B4" t="s">
        <v>67</v>
      </c>
      <c r="C4" t="s">
        <v>35</v>
      </c>
      <c r="D4" t="s">
        <v>34</v>
      </c>
      <c r="E4" t="s">
        <v>68</v>
      </c>
      <c r="F4" s="1">
        <v>45987</v>
      </c>
      <c r="G4" t="s">
        <v>33</v>
      </c>
      <c r="H4" s="5">
        <v>1</v>
      </c>
      <c r="I4">
        <v>4</v>
      </c>
      <c r="J4">
        <f>tblRisks[[#This Row],[Likelihood_Inherent]]*tblRisks[[#This Row],[Impact_Inherent]]</f>
        <v>4</v>
      </c>
      <c r="K4" t="s">
        <v>15</v>
      </c>
      <c r="L4">
        <v>3</v>
      </c>
      <c r="M4">
        <v>2</v>
      </c>
      <c r="N4">
        <f>tblRisks[[#This Row],[Likelihood_Residual]]*tblRisks[[#This Row],[Impact_residual]]</f>
        <v>6</v>
      </c>
      <c r="O4" t="str">
        <f>IF(tblRisks[[#This Row],[Score_residual]]&gt;=15,"Outside",IF(tblRisks[[#This Row],[Score_residual]]&gt;=10,"Borderline","Within"))</f>
        <v>Within</v>
      </c>
      <c r="P4" s="1">
        <v>45996</v>
      </c>
      <c r="Q4" s="1">
        <v>45994</v>
      </c>
      <c r="R4" s="5">
        <f>ABS(tblRisks[[#This Row],[Last_review_date]]-tblRisks[[#This Row],[Date_Identified]]
)</f>
        <v>9</v>
      </c>
      <c r="S4" t="b">
        <f ca="1">AND(tblRisks[[#This Row],[Status]]&lt;&gt;"Closed",tblRisks[[#This Row],[Next_review_date]]&lt;TODAY())</f>
        <v>0</v>
      </c>
      <c r="T4" t="s">
        <v>31</v>
      </c>
      <c r="U4" t="s">
        <v>69</v>
      </c>
      <c r="V4" t="s">
        <v>70</v>
      </c>
    </row>
    <row r="5" spans="1:22" x14ac:dyDescent="0.2">
      <c r="A5" t="s">
        <v>71</v>
      </c>
      <c r="B5" t="s">
        <v>56</v>
      </c>
      <c r="C5" t="s">
        <v>7</v>
      </c>
      <c r="D5" t="s">
        <v>186</v>
      </c>
      <c r="E5" t="s">
        <v>72</v>
      </c>
      <c r="F5" s="1">
        <v>45989</v>
      </c>
      <c r="G5" t="s">
        <v>33</v>
      </c>
      <c r="H5" s="5">
        <v>4</v>
      </c>
      <c r="I5">
        <v>2</v>
      </c>
      <c r="J5">
        <f>tblRisks[[#This Row],[Likelihood_Inherent]]*tblRisks[[#This Row],[Impact_Inherent]]</f>
        <v>8</v>
      </c>
      <c r="K5" t="s">
        <v>8</v>
      </c>
      <c r="L5">
        <v>1</v>
      </c>
      <c r="M5">
        <v>1</v>
      </c>
      <c r="N5">
        <f>tblRisks[[#This Row],[Likelihood_Residual]]*tblRisks[[#This Row],[Impact_residual]]</f>
        <v>1</v>
      </c>
      <c r="O5" t="str">
        <f>IF(tblRisks[[#This Row],[Score_residual]]&gt;=15,"Outside",IF(tblRisks[[#This Row],[Score_residual]]&gt;=10,"Borderline","Within"))</f>
        <v>Within</v>
      </c>
      <c r="P5" s="1">
        <v>45993</v>
      </c>
      <c r="Q5" s="1">
        <v>45996</v>
      </c>
      <c r="R5" s="5">
        <f>ABS(tblRisks[[#This Row],[Last_review_date]]-tblRisks[[#This Row],[Date_Identified]]
)</f>
        <v>4</v>
      </c>
      <c r="S5" t="b">
        <f ca="1">AND(tblRisks[[#This Row],[Status]]&lt;&gt;"Closed",tblRisks[[#This Row],[Next_review_date]]&lt;TODAY())</f>
        <v>0</v>
      </c>
      <c r="T5" t="s">
        <v>19</v>
      </c>
      <c r="U5" t="s">
        <v>73</v>
      </c>
      <c r="V5" t="s">
        <v>74</v>
      </c>
    </row>
    <row r="6" spans="1:22" x14ac:dyDescent="0.2">
      <c r="A6" s="4" t="s">
        <v>75</v>
      </c>
      <c r="B6" t="s">
        <v>76</v>
      </c>
      <c r="C6" t="s">
        <v>20</v>
      </c>
      <c r="D6" t="s">
        <v>186</v>
      </c>
      <c r="E6" t="s">
        <v>77</v>
      </c>
      <c r="F6" s="1">
        <v>45989</v>
      </c>
      <c r="G6" t="s">
        <v>33</v>
      </c>
      <c r="H6" s="5">
        <v>3</v>
      </c>
      <c r="I6">
        <v>3</v>
      </c>
      <c r="J6">
        <f>tblRisks[[#This Row],[Likelihood_Inherent]]*tblRisks[[#This Row],[Impact_Inherent]]</f>
        <v>9</v>
      </c>
      <c r="K6" t="s">
        <v>8</v>
      </c>
      <c r="L6">
        <v>1</v>
      </c>
      <c r="M6">
        <v>1</v>
      </c>
      <c r="N6">
        <f>tblRisks[[#This Row],[Likelihood_Residual]]*tblRisks[[#This Row],[Impact_residual]]</f>
        <v>1</v>
      </c>
      <c r="O6" t="str">
        <f>IF(tblRisks[[#This Row],[Score_residual]]&gt;=15,"Outside",IF(tblRisks[[#This Row],[Score_residual]]&gt;=10,"Borderline","Within"))</f>
        <v>Within</v>
      </c>
      <c r="P6" s="1">
        <v>45993</v>
      </c>
      <c r="Q6" s="1">
        <v>45993</v>
      </c>
      <c r="R6" s="5">
        <f>ABS(tblRisks[[#This Row],[Last_review_date]]-tblRisks[[#This Row],[Date_Identified]]
)</f>
        <v>4</v>
      </c>
      <c r="S6" t="b">
        <f ca="1">AND(tblRisks[[#This Row],[Status]]&lt;&gt;"Closed",tblRisks[[#This Row],[Next_review_date]]&lt;TODAY())</f>
        <v>0</v>
      </c>
      <c r="T6" t="s">
        <v>31</v>
      </c>
      <c r="U6" t="s">
        <v>78</v>
      </c>
      <c r="V6" t="s">
        <v>79</v>
      </c>
    </row>
    <row r="7" spans="1:22" x14ac:dyDescent="0.2">
      <c r="A7" s="4" t="s">
        <v>80</v>
      </c>
      <c r="B7" t="s">
        <v>81</v>
      </c>
      <c r="C7" t="s">
        <v>7</v>
      </c>
      <c r="D7" t="s">
        <v>186</v>
      </c>
      <c r="E7" t="s">
        <v>72</v>
      </c>
      <c r="F7" s="1">
        <v>45992</v>
      </c>
      <c r="G7" t="s">
        <v>33</v>
      </c>
      <c r="H7" s="5">
        <v>3</v>
      </c>
      <c r="I7">
        <v>3</v>
      </c>
      <c r="J7">
        <f>tblRisks[[#This Row],[Likelihood_Inherent]]*tblRisks[[#This Row],[Impact_Inherent]]</f>
        <v>9</v>
      </c>
      <c r="K7" t="s">
        <v>15</v>
      </c>
      <c r="L7">
        <v>2</v>
      </c>
      <c r="M7">
        <v>2</v>
      </c>
      <c r="N7">
        <f>tblRisks[[#This Row],[Likelihood_Residual]]*tblRisks[[#This Row],[Impact_residual]]</f>
        <v>4</v>
      </c>
      <c r="O7" t="str">
        <f>IF(tblRisks[[#This Row],[Score_residual]]&gt;=15,"Outside",IF(tblRisks[[#This Row],[Score_residual]]&gt;=10,"Borderline","Within"))</f>
        <v>Within</v>
      </c>
      <c r="P7" s="1">
        <v>45995</v>
      </c>
      <c r="Q7" s="1">
        <v>45995</v>
      </c>
      <c r="R7" s="5">
        <f>ABS(tblRisks[[#This Row],[Last_review_date]]-tblRisks[[#This Row],[Date_Identified]]
)</f>
        <v>3</v>
      </c>
      <c r="S7" t="b">
        <f ca="1">AND(tblRisks[[#This Row],[Status]]&lt;&gt;"Closed",tblRisks[[#This Row],[Next_review_date]]&lt;TODAY())</f>
        <v>0</v>
      </c>
      <c r="T7" t="s">
        <v>82</v>
      </c>
      <c r="U7" t="s">
        <v>83</v>
      </c>
      <c r="V7" t="s">
        <v>84</v>
      </c>
    </row>
    <row r="8" spans="1:22" x14ac:dyDescent="0.2">
      <c r="A8" s="4" t="s">
        <v>85</v>
      </c>
      <c r="B8" t="s">
        <v>86</v>
      </c>
      <c r="C8" t="s">
        <v>13</v>
      </c>
      <c r="D8" t="s">
        <v>187</v>
      </c>
      <c r="E8" t="s">
        <v>87</v>
      </c>
      <c r="F8" s="1">
        <v>45993</v>
      </c>
      <c r="G8" t="s">
        <v>33</v>
      </c>
      <c r="H8" s="5">
        <v>2</v>
      </c>
      <c r="I8">
        <v>2</v>
      </c>
      <c r="J8">
        <f>tblRisks[[#This Row],[Likelihood_Inherent]]*tblRisks[[#This Row],[Impact_Inherent]]</f>
        <v>4</v>
      </c>
      <c r="K8" t="s">
        <v>15</v>
      </c>
      <c r="L8">
        <v>1</v>
      </c>
      <c r="M8">
        <v>1</v>
      </c>
      <c r="N8">
        <f>tblRisks[[#This Row],[Likelihood_Residual]]*tblRisks[[#This Row],[Impact_residual]]</f>
        <v>1</v>
      </c>
      <c r="O8" t="str">
        <f>IF(tblRisks[[#This Row],[Score_residual]]&gt;=15,"Outside",IF(tblRisks[[#This Row],[Score_residual]]&gt;=10,"Borderline","Within"))</f>
        <v>Within</v>
      </c>
      <c r="P8" s="1">
        <v>46000</v>
      </c>
      <c r="Q8" s="1">
        <v>46000</v>
      </c>
      <c r="R8" s="5">
        <f>ABS(tblRisks[[#This Row],[Last_review_date]]-tblRisks[[#This Row],[Date_Identified]]
)</f>
        <v>7</v>
      </c>
      <c r="S8" t="b">
        <f ca="1">AND(tblRisks[[#This Row],[Status]]&lt;&gt;"Closed",tblRisks[[#This Row],[Next_review_date]]&lt;TODAY())</f>
        <v>0</v>
      </c>
      <c r="T8" t="s">
        <v>88</v>
      </c>
      <c r="U8" t="s">
        <v>89</v>
      </c>
      <c r="V8" t="s">
        <v>90</v>
      </c>
    </row>
    <row r="9" spans="1:22" x14ac:dyDescent="0.2">
      <c r="A9" t="s">
        <v>178</v>
      </c>
      <c r="B9" t="s">
        <v>92</v>
      </c>
      <c r="C9" t="s">
        <v>27</v>
      </c>
      <c r="D9" t="s">
        <v>36</v>
      </c>
      <c r="E9" t="s">
        <v>93</v>
      </c>
      <c r="F9" s="1">
        <v>46065</v>
      </c>
      <c r="G9" t="s">
        <v>21</v>
      </c>
      <c r="H9" s="5">
        <v>2</v>
      </c>
      <c r="I9">
        <v>5</v>
      </c>
      <c r="J9">
        <f>tblRisks[[#This Row],[Likelihood_Inherent]]*tblRisks[[#This Row],[Impact_Inherent]]</f>
        <v>10</v>
      </c>
      <c r="K9" t="s">
        <v>15</v>
      </c>
      <c r="L9">
        <v>4</v>
      </c>
      <c r="M9">
        <v>4</v>
      </c>
      <c r="N9">
        <f>tblRisks[[#This Row],[Likelihood_Residual]]*tblRisks[[#This Row],[Impact_residual]]</f>
        <v>16</v>
      </c>
      <c r="O9" t="str">
        <f>IF(tblRisks[[#This Row],[Score_residual]]&gt;=15,"Outside",IF(tblRisks[[#This Row],[Score_residual]]&gt;=10,"Borderline","Within"))</f>
        <v>Outside</v>
      </c>
      <c r="P9" s="1">
        <v>46065</v>
      </c>
      <c r="Q9" s="1">
        <v>46072</v>
      </c>
      <c r="R9" s="5">
        <f>ABS(tblRisks[[#This Row],[Last_review_date]]-tblRisks[[#This Row],[Date_Identified]]
)</f>
        <v>0</v>
      </c>
      <c r="S9" t="b">
        <f ca="1">AND(tblRisks[[#This Row],[Status]]&lt;&gt;"Closed",tblRisks[[#This Row],[Next_review_date]]&lt;TODAY())</f>
        <v>0</v>
      </c>
      <c r="T9" t="s">
        <v>88</v>
      </c>
      <c r="U9" t="s">
        <v>94</v>
      </c>
      <c r="V9" t="s">
        <v>95</v>
      </c>
    </row>
    <row r="10" spans="1:22" x14ac:dyDescent="0.2">
      <c r="A10" t="s">
        <v>96</v>
      </c>
      <c r="B10" t="s">
        <v>97</v>
      </c>
      <c r="C10" t="s">
        <v>35</v>
      </c>
      <c r="D10" t="s">
        <v>34</v>
      </c>
      <c r="E10" t="s">
        <v>57</v>
      </c>
      <c r="F10" s="1">
        <v>45996</v>
      </c>
      <c r="G10" t="s">
        <v>33</v>
      </c>
      <c r="H10" s="5">
        <v>3</v>
      </c>
      <c r="I10">
        <v>3</v>
      </c>
      <c r="J10">
        <f>tblRisks[[#This Row],[Likelihood_Inherent]]*tblRisks[[#This Row],[Impact_Inherent]]</f>
        <v>9</v>
      </c>
      <c r="K10" t="s">
        <v>8</v>
      </c>
      <c r="L10">
        <v>1</v>
      </c>
      <c r="M10">
        <v>1</v>
      </c>
      <c r="N10">
        <f>tblRisks[[#This Row],[Likelihood_Residual]]*tblRisks[[#This Row],[Impact_residual]]</f>
        <v>1</v>
      </c>
      <c r="O10" t="str">
        <f>IF(tblRisks[[#This Row],[Score_residual]]&gt;=15,"Outside",IF(tblRisks[[#This Row],[Score_residual]]&gt;=10,"Borderline","Within"))</f>
        <v>Within</v>
      </c>
      <c r="P10" s="1">
        <v>46003</v>
      </c>
      <c r="Q10" s="1">
        <v>46003</v>
      </c>
      <c r="R10" s="5">
        <f>ABS(tblRisks[[#This Row],[Last_review_date]]-tblRisks[[#This Row],[Date_Identified]]
)</f>
        <v>7</v>
      </c>
      <c r="S10" t="b">
        <f ca="1">AND(tblRisks[[#This Row],[Status]]&lt;&gt;"Closed",tblRisks[[#This Row],[Next_review_date]]&lt;TODAY())</f>
        <v>0</v>
      </c>
      <c r="T10" t="s">
        <v>19</v>
      </c>
      <c r="U10" t="s">
        <v>98</v>
      </c>
      <c r="V10" t="s">
        <v>99</v>
      </c>
    </row>
    <row r="11" spans="1:22" x14ac:dyDescent="0.2">
      <c r="A11" t="s">
        <v>179</v>
      </c>
      <c r="B11" t="s">
        <v>101</v>
      </c>
      <c r="C11" t="s">
        <v>27</v>
      </c>
      <c r="D11" t="s">
        <v>36</v>
      </c>
      <c r="E11" t="s">
        <v>93</v>
      </c>
      <c r="F11" s="1">
        <v>46029</v>
      </c>
      <c r="G11" t="s">
        <v>21</v>
      </c>
      <c r="H11" s="5">
        <v>3</v>
      </c>
      <c r="I11">
        <v>5</v>
      </c>
      <c r="J11">
        <f>tblRisks[[#This Row],[Likelihood_Inherent]]*tblRisks[[#This Row],[Impact_Inherent]]</f>
        <v>15</v>
      </c>
      <c r="K11" t="s">
        <v>15</v>
      </c>
      <c r="L11">
        <v>4</v>
      </c>
      <c r="M11">
        <v>3</v>
      </c>
      <c r="N11">
        <f>tblRisks[[#This Row],[Likelihood_Residual]]*tblRisks[[#This Row],[Impact_residual]]</f>
        <v>12</v>
      </c>
      <c r="O11" t="str">
        <f>IF(tblRisks[[#This Row],[Score_residual]]&gt;=15,"Outside",IF(tblRisks[[#This Row],[Score_residual]]&gt;=10,"Borderline","Within"))</f>
        <v>Borderline</v>
      </c>
      <c r="P11" s="1">
        <v>46064</v>
      </c>
      <c r="Q11" s="1">
        <v>46071</v>
      </c>
      <c r="R11" s="5">
        <f>ABS(tblRisks[[#This Row],[Last_review_date]]-tblRisks[[#This Row],[Date_Identified]]
)</f>
        <v>35</v>
      </c>
      <c r="S11" t="b">
        <f ca="1">AND(tblRisks[[#This Row],[Status]]&lt;&gt;"Closed",tblRisks[[#This Row],[Next_review_date]]&lt;TODAY())</f>
        <v>0</v>
      </c>
      <c r="T11" t="s">
        <v>88</v>
      </c>
      <c r="U11" t="s">
        <v>102</v>
      </c>
      <c r="V11" t="s">
        <v>103</v>
      </c>
    </row>
    <row r="12" spans="1:22" x14ac:dyDescent="0.2">
      <c r="A12" t="s">
        <v>104</v>
      </c>
      <c r="B12" t="s">
        <v>105</v>
      </c>
      <c r="C12" t="s">
        <v>20</v>
      </c>
      <c r="D12" t="s">
        <v>186</v>
      </c>
      <c r="E12" t="s">
        <v>106</v>
      </c>
      <c r="F12" s="1">
        <v>46002</v>
      </c>
      <c r="G12" t="s">
        <v>33</v>
      </c>
      <c r="H12" s="5">
        <v>2</v>
      </c>
      <c r="I12">
        <v>4</v>
      </c>
      <c r="J12">
        <f>tblRisks[[#This Row],[Likelihood_Inherent]]*tblRisks[[#This Row],[Impact_Inherent]]</f>
        <v>8</v>
      </c>
      <c r="K12" t="s">
        <v>15</v>
      </c>
      <c r="L12">
        <v>3</v>
      </c>
      <c r="M12">
        <v>2</v>
      </c>
      <c r="N12">
        <f>tblRisks[[#This Row],[Likelihood_Residual]]*tblRisks[[#This Row],[Impact_residual]]</f>
        <v>6</v>
      </c>
      <c r="O12" t="str">
        <f>IF(tblRisks[[#This Row],[Score_residual]]&gt;=15,"Outside",IF(tblRisks[[#This Row],[Score_residual]]&gt;=10,"Borderline","Within"))</f>
        <v>Within</v>
      </c>
      <c r="P12" s="1">
        <v>46009</v>
      </c>
      <c r="Q12" s="1">
        <v>46009</v>
      </c>
      <c r="R12" s="5">
        <f>ABS(tblRisks[[#This Row],[Last_review_date]]-tblRisks[[#This Row],[Date_Identified]]
)</f>
        <v>7</v>
      </c>
      <c r="S12" t="b">
        <f ca="1">AND(tblRisks[[#This Row],[Status]]&lt;&gt;"Closed",tblRisks[[#This Row],[Next_review_date]]&lt;TODAY())</f>
        <v>0</v>
      </c>
      <c r="T12" t="s">
        <v>31</v>
      </c>
      <c r="U12" t="s">
        <v>107</v>
      </c>
      <c r="V12" t="s">
        <v>108</v>
      </c>
    </row>
    <row r="13" spans="1:22" x14ac:dyDescent="0.2">
      <c r="A13" t="s">
        <v>180</v>
      </c>
      <c r="B13" t="s">
        <v>110</v>
      </c>
      <c r="C13" t="s">
        <v>13</v>
      </c>
      <c r="D13" t="s">
        <v>187</v>
      </c>
      <c r="E13" t="s">
        <v>87</v>
      </c>
      <c r="F13" s="1">
        <v>46062</v>
      </c>
      <c r="G13" t="s">
        <v>21</v>
      </c>
      <c r="H13" s="5">
        <v>2</v>
      </c>
      <c r="I13">
        <v>4</v>
      </c>
      <c r="J13">
        <f>tblRisks[[#This Row],[Likelihood_Inherent]]*tblRisks[[#This Row],[Impact_Inherent]]</f>
        <v>8</v>
      </c>
      <c r="K13" t="s">
        <v>22</v>
      </c>
      <c r="L13">
        <v>2</v>
      </c>
      <c r="M13">
        <v>3</v>
      </c>
      <c r="N13">
        <f>tblRisks[[#This Row],[Likelihood_Residual]]*tblRisks[[#This Row],[Impact_residual]]</f>
        <v>6</v>
      </c>
      <c r="O13" t="str">
        <f>IF(tblRisks[[#This Row],[Score_residual]]&gt;=15,"Outside",IF(tblRisks[[#This Row],[Score_residual]]&gt;=10,"Borderline","Within"))</f>
        <v>Within</v>
      </c>
      <c r="P13" s="1">
        <v>46062</v>
      </c>
      <c r="Q13" s="1">
        <v>46069</v>
      </c>
      <c r="R13" s="5">
        <f>ABS(tblRisks[[#This Row],[Last_review_date]]-tblRisks[[#This Row],[Date_Identified]]
)</f>
        <v>0</v>
      </c>
      <c r="S13" t="b">
        <f ca="1">AND(tblRisks[[#This Row],[Status]]&lt;&gt;"Closed",tblRisks[[#This Row],[Next_review_date]]&lt;TODAY())</f>
        <v>0</v>
      </c>
      <c r="T13" t="s">
        <v>31</v>
      </c>
      <c r="U13" t="s">
        <v>111</v>
      </c>
      <c r="V13" t="s">
        <v>112</v>
      </c>
    </row>
    <row r="14" spans="1:22" x14ac:dyDescent="0.2">
      <c r="A14" t="s">
        <v>113</v>
      </c>
      <c r="B14" t="s">
        <v>114</v>
      </c>
      <c r="C14" t="s">
        <v>35</v>
      </c>
      <c r="D14" t="s">
        <v>9</v>
      </c>
      <c r="E14" t="s">
        <v>57</v>
      </c>
      <c r="F14" s="1">
        <v>46022</v>
      </c>
      <c r="G14" t="s">
        <v>33</v>
      </c>
      <c r="H14" s="5">
        <v>2</v>
      </c>
      <c r="I14">
        <v>3</v>
      </c>
      <c r="J14">
        <f>tblRisks[[#This Row],[Likelihood_Inherent]]*tblRisks[[#This Row],[Impact_Inherent]]</f>
        <v>6</v>
      </c>
      <c r="K14" t="s">
        <v>8</v>
      </c>
      <c r="L14">
        <v>1</v>
      </c>
      <c r="M14">
        <v>1</v>
      </c>
      <c r="N14">
        <f>tblRisks[[#This Row],[Likelihood_Residual]]*tblRisks[[#This Row],[Impact_residual]]</f>
        <v>1</v>
      </c>
      <c r="O14" t="str">
        <f>IF(tblRisks[[#This Row],[Score_residual]]&gt;=15,"Outside",IF(tblRisks[[#This Row],[Score_residual]]&gt;=10,"Borderline","Within"))</f>
        <v>Within</v>
      </c>
      <c r="P14" s="1">
        <v>46029</v>
      </c>
      <c r="Q14" s="1">
        <v>46029</v>
      </c>
      <c r="R14" s="5">
        <f>ABS(tblRisks[[#This Row],[Last_review_date]]-tblRisks[[#This Row],[Date_Identified]]
)</f>
        <v>7</v>
      </c>
      <c r="S14" t="b">
        <f ca="1">AND(tblRisks[[#This Row],[Status]]&lt;&gt;"Closed",tblRisks[[#This Row],[Next_review_date]]&lt;TODAY())</f>
        <v>0</v>
      </c>
      <c r="T14" t="s">
        <v>82</v>
      </c>
      <c r="U14" t="s">
        <v>115</v>
      </c>
      <c r="V14" t="s">
        <v>116</v>
      </c>
    </row>
    <row r="15" spans="1:22" x14ac:dyDescent="0.2">
      <c r="A15" t="s">
        <v>117</v>
      </c>
      <c r="B15" t="s">
        <v>118</v>
      </c>
      <c r="C15" t="s">
        <v>20</v>
      </c>
      <c r="D15" t="s">
        <v>186</v>
      </c>
      <c r="E15" t="s">
        <v>106</v>
      </c>
      <c r="F15" s="1">
        <v>46023</v>
      </c>
      <c r="G15" t="s">
        <v>33</v>
      </c>
      <c r="H15" s="5">
        <v>1</v>
      </c>
      <c r="I15">
        <v>4</v>
      </c>
      <c r="J15">
        <f>tblRisks[[#This Row],[Likelihood_Inherent]]*tblRisks[[#This Row],[Impact_Inherent]]</f>
        <v>4</v>
      </c>
      <c r="K15" t="s">
        <v>22</v>
      </c>
      <c r="L15">
        <v>4</v>
      </c>
      <c r="M15">
        <v>1</v>
      </c>
      <c r="N15">
        <f>tblRisks[[#This Row],[Likelihood_Residual]]*tblRisks[[#This Row],[Impact_residual]]</f>
        <v>4</v>
      </c>
      <c r="O15" t="str">
        <f>IF(tblRisks[[#This Row],[Score_residual]]&gt;=15,"Outside",IF(tblRisks[[#This Row],[Score_residual]]&gt;=10,"Borderline","Within"))</f>
        <v>Within</v>
      </c>
      <c r="P15" s="1">
        <v>46030</v>
      </c>
      <c r="Q15" s="1">
        <v>46030</v>
      </c>
      <c r="R15" s="5">
        <f>ABS(tblRisks[[#This Row],[Last_review_date]]-tblRisks[[#This Row],[Date_Identified]]
)</f>
        <v>7</v>
      </c>
      <c r="S15" t="b">
        <f ca="1">AND(tblRisks[[#This Row],[Status]]&lt;&gt;"Closed",tblRisks[[#This Row],[Next_review_date]]&lt;TODAY())</f>
        <v>0</v>
      </c>
      <c r="T15" t="s">
        <v>31</v>
      </c>
      <c r="U15" t="s">
        <v>119</v>
      </c>
      <c r="V15" t="s">
        <v>120</v>
      </c>
    </row>
    <row r="16" spans="1:22" x14ac:dyDescent="0.2">
      <c r="A16" t="s">
        <v>121</v>
      </c>
      <c r="B16" t="s">
        <v>122</v>
      </c>
      <c r="C16" t="s">
        <v>35</v>
      </c>
      <c r="D16" t="s">
        <v>34</v>
      </c>
      <c r="E16" t="s">
        <v>57</v>
      </c>
      <c r="F16" s="1">
        <v>46027</v>
      </c>
      <c r="G16" t="s">
        <v>33</v>
      </c>
      <c r="H16" s="5">
        <v>2</v>
      </c>
      <c r="I16">
        <v>2</v>
      </c>
      <c r="J16">
        <f>tblRisks[[#This Row],[Likelihood_Inherent]]*tblRisks[[#This Row],[Impact_Inherent]]</f>
        <v>4</v>
      </c>
      <c r="K16" t="s">
        <v>22</v>
      </c>
      <c r="L16">
        <v>1</v>
      </c>
      <c r="M16">
        <v>1</v>
      </c>
      <c r="N16">
        <f>tblRisks[[#This Row],[Likelihood_Residual]]*tblRisks[[#This Row],[Impact_residual]]</f>
        <v>1</v>
      </c>
      <c r="O16" t="str">
        <f>IF(tblRisks[[#This Row],[Score_residual]]&gt;=15,"Outside",IF(tblRisks[[#This Row],[Score_residual]]&gt;=10,"Borderline","Within"))</f>
        <v>Within</v>
      </c>
      <c r="P16" s="1">
        <v>46034</v>
      </c>
      <c r="Q16" s="1">
        <v>46034</v>
      </c>
      <c r="R16" s="5">
        <f>ABS(tblRisks[[#This Row],[Last_review_date]]-tblRisks[[#This Row],[Date_Identified]]
)</f>
        <v>7</v>
      </c>
      <c r="S16" t="b">
        <f ca="1">AND(tblRisks[[#This Row],[Status]]&lt;&gt;"Closed",tblRisks[[#This Row],[Next_review_date]]&lt;TODAY())</f>
        <v>0</v>
      </c>
      <c r="T16" t="s">
        <v>19</v>
      </c>
      <c r="U16" t="s">
        <v>123</v>
      </c>
      <c r="V16" t="s">
        <v>124</v>
      </c>
    </row>
    <row r="17" spans="1:22" x14ac:dyDescent="0.2">
      <c r="A17" t="s">
        <v>200</v>
      </c>
      <c r="B17" t="s">
        <v>125</v>
      </c>
      <c r="C17" t="s">
        <v>27</v>
      </c>
      <c r="D17" t="s">
        <v>36</v>
      </c>
      <c r="E17" t="s">
        <v>93</v>
      </c>
      <c r="F17" s="1">
        <v>45993</v>
      </c>
      <c r="G17" t="s">
        <v>28</v>
      </c>
      <c r="H17" s="5">
        <v>1</v>
      </c>
      <c r="I17">
        <v>3</v>
      </c>
      <c r="J17">
        <f>tblRisks[[#This Row],[Likelihood_Inherent]]*tblRisks[[#This Row],[Impact_Inherent]]</f>
        <v>3</v>
      </c>
      <c r="K17" t="s">
        <v>15</v>
      </c>
      <c r="L17">
        <v>2</v>
      </c>
      <c r="M17">
        <v>2</v>
      </c>
      <c r="N17">
        <f>tblRisks[[#This Row],[Likelihood_Residual]]*tblRisks[[#This Row],[Impact_residual]]</f>
        <v>4</v>
      </c>
      <c r="O17" t="str">
        <f>IF(tblRisks[[#This Row],[Score_residual]]&gt;=15,"Outside",IF(tblRisks[[#This Row],[Score_residual]]&gt;=10,"Borderline","Within"))</f>
        <v>Within</v>
      </c>
      <c r="P17" s="1">
        <v>46062</v>
      </c>
      <c r="Q17" s="1">
        <v>46007</v>
      </c>
      <c r="R17" s="5">
        <f>ABS(tblRisks[[#This Row],[Last_review_date]]-tblRisks[[#This Row],[Date_Identified]]
)</f>
        <v>69</v>
      </c>
      <c r="S17" t="b">
        <f ca="1">AND(tblRisks[[#This Row],[Status]]&lt;&gt;"Closed",tblRisks[[#This Row],[Next_review_date]]&lt;TODAY())</f>
        <v>1</v>
      </c>
      <c r="T17" t="s">
        <v>88</v>
      </c>
      <c r="U17" t="s">
        <v>126</v>
      </c>
      <c r="V17" t="s">
        <v>127</v>
      </c>
    </row>
    <row r="18" spans="1:22" x14ac:dyDescent="0.2">
      <c r="A18" t="s">
        <v>128</v>
      </c>
      <c r="B18" t="s">
        <v>129</v>
      </c>
      <c r="C18" t="s">
        <v>35</v>
      </c>
      <c r="D18" t="s">
        <v>34</v>
      </c>
      <c r="E18" t="s">
        <v>57</v>
      </c>
      <c r="F18" s="1">
        <v>46031</v>
      </c>
      <c r="G18" t="s">
        <v>33</v>
      </c>
      <c r="H18" s="5">
        <v>4</v>
      </c>
      <c r="I18">
        <v>5</v>
      </c>
      <c r="J18">
        <f>tblRisks[[#This Row],[Likelihood_Inherent]]*tblRisks[[#This Row],[Impact_Inherent]]</f>
        <v>20</v>
      </c>
      <c r="K18" t="s">
        <v>22</v>
      </c>
      <c r="L18">
        <v>4</v>
      </c>
      <c r="M18">
        <v>2</v>
      </c>
      <c r="N18">
        <f>tblRisks[[#This Row],[Likelihood_Residual]]*tblRisks[[#This Row],[Impact_residual]]</f>
        <v>8</v>
      </c>
      <c r="O18" t="str">
        <f>IF(tblRisks[[#This Row],[Score_residual]]&gt;=15,"Outside",IF(tblRisks[[#This Row],[Score_residual]]&gt;=10,"Borderline","Within"))</f>
        <v>Within</v>
      </c>
      <c r="P18" s="1">
        <v>46038</v>
      </c>
      <c r="Q18" s="1">
        <v>46038</v>
      </c>
      <c r="R18" s="5">
        <f>ABS(tblRisks[[#This Row],[Last_review_date]]-tblRisks[[#This Row],[Date_Identified]]
)</f>
        <v>7</v>
      </c>
      <c r="S18" t="b">
        <f ca="1">AND(tblRisks[[#This Row],[Status]]&lt;&gt;"Closed",tblRisks[[#This Row],[Next_review_date]]&lt;TODAY())</f>
        <v>0</v>
      </c>
      <c r="T18" t="s">
        <v>31</v>
      </c>
      <c r="U18" t="s">
        <v>130</v>
      </c>
      <c r="V18" t="s">
        <v>131</v>
      </c>
    </row>
    <row r="19" spans="1:22" x14ac:dyDescent="0.2">
      <c r="A19" t="s">
        <v>132</v>
      </c>
      <c r="B19" t="s">
        <v>133</v>
      </c>
      <c r="C19" t="s">
        <v>13</v>
      </c>
      <c r="D19" t="s">
        <v>187</v>
      </c>
      <c r="E19" t="s">
        <v>87</v>
      </c>
      <c r="F19" s="1">
        <v>46034</v>
      </c>
      <c r="G19" t="s">
        <v>33</v>
      </c>
      <c r="H19" s="5">
        <v>3</v>
      </c>
      <c r="I19">
        <v>2</v>
      </c>
      <c r="J19">
        <f>tblRisks[[#This Row],[Likelihood_Inherent]]*tblRisks[[#This Row],[Impact_Inherent]]</f>
        <v>6</v>
      </c>
      <c r="K19" t="s">
        <v>22</v>
      </c>
      <c r="L19">
        <v>3</v>
      </c>
      <c r="M19">
        <v>1</v>
      </c>
      <c r="N19">
        <f>tblRisks[[#This Row],[Likelihood_Residual]]*tblRisks[[#This Row],[Impact_residual]]</f>
        <v>3</v>
      </c>
      <c r="O19" t="str">
        <f>IF(tblRisks[[#This Row],[Score_residual]]&gt;=15,"Outside",IF(tblRisks[[#This Row],[Score_residual]]&gt;=10,"Borderline","Within"))</f>
        <v>Within</v>
      </c>
      <c r="P19" s="1">
        <v>46041</v>
      </c>
      <c r="Q19" s="1">
        <v>46041</v>
      </c>
      <c r="R19" s="5">
        <f>ABS(tblRisks[[#This Row],[Last_review_date]]-tblRisks[[#This Row],[Date_Identified]]
)</f>
        <v>7</v>
      </c>
      <c r="S19" t="b">
        <f ca="1">AND(tblRisks[[#This Row],[Status]]&lt;&gt;"Closed",tblRisks[[#This Row],[Next_review_date]]&lt;TODAY())</f>
        <v>0</v>
      </c>
      <c r="T19" t="s">
        <v>31</v>
      </c>
      <c r="U19" t="s">
        <v>134</v>
      </c>
      <c r="V19" t="s">
        <v>135</v>
      </c>
    </row>
    <row r="20" spans="1:22" x14ac:dyDescent="0.2">
      <c r="A20" t="s">
        <v>136</v>
      </c>
      <c r="B20" t="s">
        <v>137</v>
      </c>
      <c r="C20" t="s">
        <v>27</v>
      </c>
      <c r="D20" t="s">
        <v>36</v>
      </c>
      <c r="E20" t="s">
        <v>93</v>
      </c>
      <c r="F20" s="1">
        <v>46034</v>
      </c>
      <c r="G20" t="s">
        <v>33</v>
      </c>
      <c r="H20" s="5">
        <v>2</v>
      </c>
      <c r="I20">
        <v>3</v>
      </c>
      <c r="J20">
        <f>tblRisks[[#This Row],[Likelihood_Inherent]]*tblRisks[[#This Row],[Impact_Inherent]]</f>
        <v>6</v>
      </c>
      <c r="K20" t="s">
        <v>15</v>
      </c>
      <c r="L20">
        <v>1</v>
      </c>
      <c r="M20">
        <v>2</v>
      </c>
      <c r="N20">
        <f>tblRisks[[#This Row],[Likelihood_Residual]]*tblRisks[[#This Row],[Impact_residual]]</f>
        <v>2</v>
      </c>
      <c r="O20" t="str">
        <f>IF(tblRisks[[#This Row],[Score_residual]]&gt;=15,"Outside",IF(tblRisks[[#This Row],[Score_residual]]&gt;=10,"Borderline","Within"))</f>
        <v>Within</v>
      </c>
      <c r="P20" s="1">
        <v>46041</v>
      </c>
      <c r="Q20" s="1">
        <v>46041</v>
      </c>
      <c r="R20" s="5">
        <f>ABS(tblRisks[[#This Row],[Last_review_date]]-tblRisks[[#This Row],[Date_Identified]]
)</f>
        <v>7</v>
      </c>
      <c r="S20" t="b">
        <f ca="1">AND(tblRisks[[#This Row],[Status]]&lt;&gt;"Closed",tblRisks[[#This Row],[Next_review_date]]&lt;TODAY())</f>
        <v>0</v>
      </c>
      <c r="T20" t="s">
        <v>88</v>
      </c>
      <c r="U20" t="s">
        <v>138</v>
      </c>
      <c r="V20" t="s">
        <v>139</v>
      </c>
    </row>
    <row r="21" spans="1:22" x14ac:dyDescent="0.2">
      <c r="A21" t="s">
        <v>140</v>
      </c>
      <c r="B21" t="s">
        <v>141</v>
      </c>
      <c r="C21" t="s">
        <v>7</v>
      </c>
      <c r="D21" t="s">
        <v>186</v>
      </c>
      <c r="E21" t="s">
        <v>72</v>
      </c>
      <c r="F21" s="1">
        <v>46036</v>
      </c>
      <c r="G21" t="s">
        <v>33</v>
      </c>
      <c r="H21" s="5">
        <v>5</v>
      </c>
      <c r="I21">
        <v>5</v>
      </c>
      <c r="J21">
        <f>tblRisks[[#This Row],[Likelihood_Inherent]]*tblRisks[[#This Row],[Impact_Inherent]]</f>
        <v>25</v>
      </c>
      <c r="K21" t="s">
        <v>8</v>
      </c>
      <c r="L21">
        <v>2</v>
      </c>
      <c r="M21">
        <v>2</v>
      </c>
      <c r="N21">
        <f>tblRisks[[#This Row],[Likelihood_Residual]]*tblRisks[[#This Row],[Impact_residual]]</f>
        <v>4</v>
      </c>
      <c r="O21" t="str">
        <f>IF(tblRisks[[#This Row],[Score_residual]]&gt;=15,"Outside",IF(tblRisks[[#This Row],[Score_residual]]&gt;=10,"Borderline","Within"))</f>
        <v>Within</v>
      </c>
      <c r="P21" s="1">
        <v>46043</v>
      </c>
      <c r="Q21" s="1">
        <v>46043</v>
      </c>
      <c r="R21" s="5">
        <f>ABS(tblRisks[[#This Row],[Last_review_date]]-tblRisks[[#This Row],[Date_Identified]]
)</f>
        <v>7</v>
      </c>
      <c r="S21" t="b">
        <f ca="1">AND(tblRisks[[#This Row],[Status]]&lt;&gt;"Closed",tblRisks[[#This Row],[Next_review_date]]&lt;TODAY())</f>
        <v>0</v>
      </c>
      <c r="T21" t="s">
        <v>31</v>
      </c>
      <c r="U21" t="s">
        <v>142</v>
      </c>
      <c r="V21" t="s">
        <v>143</v>
      </c>
    </row>
    <row r="22" spans="1:22" x14ac:dyDescent="0.2">
      <c r="A22" t="s">
        <v>201</v>
      </c>
      <c r="B22" t="s">
        <v>144</v>
      </c>
      <c r="C22" t="s">
        <v>32</v>
      </c>
      <c r="D22" t="s">
        <v>23</v>
      </c>
      <c r="E22" t="s">
        <v>68</v>
      </c>
      <c r="F22" s="1">
        <v>46000</v>
      </c>
      <c r="G22" t="s">
        <v>28</v>
      </c>
      <c r="H22" s="5">
        <v>2</v>
      </c>
      <c r="I22">
        <v>4</v>
      </c>
      <c r="J22">
        <f>tblRisks[[#This Row],[Likelihood_Inherent]]*tblRisks[[#This Row],[Impact_Inherent]]</f>
        <v>8</v>
      </c>
      <c r="K22" t="s">
        <v>8</v>
      </c>
      <c r="L22">
        <v>2</v>
      </c>
      <c r="M22">
        <v>2</v>
      </c>
      <c r="N22">
        <f>tblRisks[[#This Row],[Likelihood_Residual]]*tblRisks[[#This Row],[Impact_residual]]</f>
        <v>4</v>
      </c>
      <c r="O22" t="str">
        <f>IF(tblRisks[[#This Row],[Score_residual]]&gt;=15,"Outside",IF(tblRisks[[#This Row],[Score_residual]]&gt;=10,"Borderline","Within"))</f>
        <v>Within</v>
      </c>
      <c r="P22" s="1">
        <v>46007</v>
      </c>
      <c r="Q22" s="1">
        <v>46076</v>
      </c>
      <c r="R22" s="5">
        <f>ABS(tblRisks[[#This Row],[Last_review_date]]-tblRisks[[#This Row],[Date_Identified]]
)</f>
        <v>7</v>
      </c>
      <c r="S22" t="b">
        <f ca="1">AND(tblRisks[[#This Row],[Status]]&lt;&gt;"Closed",tblRisks[[#This Row],[Next_review_date]]&lt;TODAY())</f>
        <v>0</v>
      </c>
      <c r="T22" t="s">
        <v>88</v>
      </c>
      <c r="U22" t="s">
        <v>145</v>
      </c>
      <c r="V22" t="s">
        <v>146</v>
      </c>
    </row>
    <row r="23" spans="1:22" x14ac:dyDescent="0.2">
      <c r="A23" t="s">
        <v>202</v>
      </c>
      <c r="B23" t="s">
        <v>147</v>
      </c>
      <c r="C23" t="s">
        <v>32</v>
      </c>
      <c r="D23" t="s">
        <v>23</v>
      </c>
      <c r="E23" t="s">
        <v>148</v>
      </c>
      <c r="F23" s="1">
        <v>46020</v>
      </c>
      <c r="G23" t="s">
        <v>28</v>
      </c>
      <c r="H23" s="5">
        <v>2</v>
      </c>
      <c r="I23">
        <v>3</v>
      </c>
      <c r="J23">
        <f>tblRisks[[#This Row],[Likelihood_Inherent]]*tblRisks[[#This Row],[Impact_Inherent]]</f>
        <v>6</v>
      </c>
      <c r="K23" t="s">
        <v>22</v>
      </c>
      <c r="L23">
        <v>1</v>
      </c>
      <c r="M23">
        <v>2</v>
      </c>
      <c r="N23">
        <f>tblRisks[[#This Row],[Likelihood_Residual]]*tblRisks[[#This Row],[Impact_residual]]</f>
        <v>2</v>
      </c>
      <c r="O23" t="str">
        <f>IF(tblRisks[[#This Row],[Score_residual]]&gt;=15,"Outside",IF(tblRisks[[#This Row],[Score_residual]]&gt;=10,"Borderline","Within"))</f>
        <v>Within</v>
      </c>
      <c r="P23" s="1">
        <v>46062</v>
      </c>
      <c r="Q23" s="1">
        <v>46069</v>
      </c>
      <c r="R23" s="5">
        <f>ABS(tblRisks[[#This Row],[Last_review_date]]-tblRisks[[#This Row],[Date_Identified]]
)</f>
        <v>42</v>
      </c>
      <c r="S23" t="b">
        <f ca="1">AND(tblRisks[[#This Row],[Status]]&lt;&gt;"Closed",tblRisks[[#This Row],[Next_review_date]]&lt;TODAY())</f>
        <v>0</v>
      </c>
      <c r="T23" t="s">
        <v>63</v>
      </c>
      <c r="U23" t="s">
        <v>149</v>
      </c>
      <c r="V23" t="s">
        <v>150</v>
      </c>
    </row>
    <row r="24" spans="1:22" x14ac:dyDescent="0.2">
      <c r="A24" t="s">
        <v>151</v>
      </c>
      <c r="B24" t="s">
        <v>152</v>
      </c>
      <c r="C24" t="s">
        <v>35</v>
      </c>
      <c r="D24" t="s">
        <v>186</v>
      </c>
      <c r="E24" t="s">
        <v>72</v>
      </c>
      <c r="F24" s="1">
        <v>46043</v>
      </c>
      <c r="G24" t="s">
        <v>28</v>
      </c>
      <c r="H24" s="5">
        <v>2</v>
      </c>
      <c r="I24">
        <v>1</v>
      </c>
      <c r="J24">
        <f>tblRisks[[#This Row],[Likelihood_Inherent]]*tblRisks[[#This Row],[Impact_Inherent]]</f>
        <v>2</v>
      </c>
      <c r="K24" t="s">
        <v>22</v>
      </c>
      <c r="L24">
        <v>2</v>
      </c>
      <c r="M24">
        <v>1</v>
      </c>
      <c r="N24">
        <f>tblRisks[[#This Row],[Likelihood_Residual]]*tblRisks[[#This Row],[Impact_residual]]</f>
        <v>2</v>
      </c>
      <c r="O24" t="str">
        <f>IF(tblRisks[[#This Row],[Score_residual]]&gt;=15,"Outside",IF(tblRisks[[#This Row],[Score_residual]]&gt;=10,"Borderline","Within"))</f>
        <v>Within</v>
      </c>
      <c r="P24" s="1">
        <v>46064</v>
      </c>
      <c r="Q24" s="1">
        <v>46071</v>
      </c>
      <c r="R24" s="5">
        <f>ABS(tblRisks[[#This Row],[Last_review_date]]-tblRisks[[#This Row],[Date_Identified]]
)</f>
        <v>21</v>
      </c>
      <c r="S24" t="b">
        <f ca="1">AND(tblRisks[[#This Row],[Status]]&lt;&gt;"Closed",tblRisks[[#This Row],[Next_review_date]]&lt;TODAY())</f>
        <v>0</v>
      </c>
      <c r="T24" t="s">
        <v>19</v>
      </c>
      <c r="U24" t="s">
        <v>153</v>
      </c>
      <c r="V24" t="s">
        <v>154</v>
      </c>
    </row>
    <row r="25" spans="1:22" x14ac:dyDescent="0.2">
      <c r="A25" t="s">
        <v>155</v>
      </c>
      <c r="B25" t="s">
        <v>156</v>
      </c>
      <c r="C25" t="s">
        <v>20</v>
      </c>
      <c r="D25" t="s">
        <v>186</v>
      </c>
      <c r="E25" t="s">
        <v>72</v>
      </c>
      <c r="F25" s="1">
        <v>46049</v>
      </c>
      <c r="G25" t="s">
        <v>14</v>
      </c>
      <c r="H25" s="5">
        <v>2</v>
      </c>
      <c r="I25">
        <v>4</v>
      </c>
      <c r="J25">
        <f>tblRisks[[#This Row],[Likelihood_Inherent]]*tblRisks[[#This Row],[Impact_Inherent]]</f>
        <v>8</v>
      </c>
      <c r="K25" t="s">
        <v>15</v>
      </c>
      <c r="L25">
        <v>1</v>
      </c>
      <c r="M25">
        <v>2</v>
      </c>
      <c r="N25">
        <f>tblRisks[[#This Row],[Likelihood_Residual]]*tblRisks[[#This Row],[Impact_residual]]</f>
        <v>2</v>
      </c>
      <c r="O25" t="str">
        <f>IF(tblRisks[[#This Row],[Score_residual]]&gt;=15,"Outside",IF(tblRisks[[#This Row],[Score_residual]]&gt;=10,"Borderline","Within"))</f>
        <v>Within</v>
      </c>
      <c r="P25" s="1">
        <v>46063</v>
      </c>
      <c r="Q25" s="1">
        <v>46070</v>
      </c>
      <c r="R25" s="5">
        <f>ABS(tblRisks[[#This Row],[Last_review_date]]-tblRisks[[#This Row],[Date_Identified]]
)</f>
        <v>14</v>
      </c>
      <c r="S25" t="b">
        <f ca="1">AND(tblRisks[[#This Row],[Status]]&lt;&gt;"Closed",tblRisks[[#This Row],[Next_review_date]]&lt;TODAY())</f>
        <v>0</v>
      </c>
      <c r="T25" t="s">
        <v>63</v>
      </c>
      <c r="U25" t="s">
        <v>157</v>
      </c>
      <c r="V25" t="s">
        <v>158</v>
      </c>
    </row>
    <row r="26" spans="1:22" x14ac:dyDescent="0.2">
      <c r="A26" t="s">
        <v>159</v>
      </c>
      <c r="B26" t="s">
        <v>160</v>
      </c>
      <c r="C26" t="s">
        <v>20</v>
      </c>
      <c r="D26" t="s">
        <v>186</v>
      </c>
      <c r="E26" t="s">
        <v>72</v>
      </c>
      <c r="F26" s="1">
        <v>46058</v>
      </c>
      <c r="G26" t="s">
        <v>14</v>
      </c>
      <c r="H26" s="5">
        <v>1</v>
      </c>
      <c r="I26">
        <v>4</v>
      </c>
      <c r="J26">
        <f>tblRisks[[#This Row],[Likelihood_Inherent]]*tblRisks[[#This Row],[Impact_Inherent]]</f>
        <v>4</v>
      </c>
      <c r="K26" t="s">
        <v>22</v>
      </c>
      <c r="L26">
        <v>1</v>
      </c>
      <c r="M26">
        <v>2</v>
      </c>
      <c r="N26">
        <f>tblRisks[[#This Row],[Likelihood_Residual]]*tblRisks[[#This Row],[Impact_residual]]</f>
        <v>2</v>
      </c>
      <c r="O26" t="str">
        <f>IF(tblRisks[[#This Row],[Score_residual]]&gt;=15,"Outside",IF(tblRisks[[#This Row],[Score_residual]]&gt;=10,"Borderline","Within"))</f>
        <v>Within</v>
      </c>
      <c r="P26" s="1">
        <v>46065</v>
      </c>
      <c r="Q26" s="1">
        <v>46072</v>
      </c>
      <c r="R26" s="5">
        <f>ABS(tblRisks[[#This Row],[Last_review_date]]-tblRisks[[#This Row],[Date_Identified]]
)</f>
        <v>7</v>
      </c>
      <c r="S26" t="b">
        <f ca="1">AND(tblRisks[[#This Row],[Status]]&lt;&gt;"Closed",tblRisks[[#This Row],[Next_review_date]]&lt;TODAY())</f>
        <v>0</v>
      </c>
      <c r="T26" t="s">
        <v>82</v>
      </c>
      <c r="U26" t="s">
        <v>161</v>
      </c>
      <c r="V26" t="s">
        <v>162</v>
      </c>
    </row>
    <row r="27" spans="1:22" x14ac:dyDescent="0.2">
      <c r="A27" t="s">
        <v>109</v>
      </c>
      <c r="B27" s="3" t="s">
        <v>164</v>
      </c>
      <c r="C27" t="s">
        <v>35</v>
      </c>
      <c r="D27" t="s">
        <v>34</v>
      </c>
      <c r="E27" t="s">
        <v>57</v>
      </c>
      <c r="F27" s="1">
        <v>46037</v>
      </c>
      <c r="G27" t="s">
        <v>21</v>
      </c>
      <c r="H27" s="5">
        <v>3</v>
      </c>
      <c r="I27">
        <v>2</v>
      </c>
      <c r="J27">
        <f>tblRisks[[#This Row],[Likelihood_Inherent]]*tblRisks[[#This Row],[Impact_Inherent]]</f>
        <v>6</v>
      </c>
      <c r="K27" t="s">
        <v>8</v>
      </c>
      <c r="L27">
        <v>1</v>
      </c>
      <c r="M27">
        <v>1</v>
      </c>
      <c r="N27">
        <f>tblRisks[[#This Row],[Likelihood_Residual]]*tblRisks[[#This Row],[Impact_residual]]</f>
        <v>1</v>
      </c>
      <c r="O27" t="str">
        <f>IF(tblRisks[[#This Row],[Score_residual]]&gt;=15,"Outside",IF(tblRisks[[#This Row],[Score_residual]]&gt;=10,"Borderline","Within"))</f>
        <v>Within</v>
      </c>
      <c r="P27" s="1">
        <v>46065</v>
      </c>
      <c r="Q27" s="1">
        <v>46072</v>
      </c>
      <c r="R27" s="5">
        <f>ABS(tblRisks[[#This Row],[Last_review_date]]-tblRisks[[#This Row],[Date_Identified]]
)</f>
        <v>28</v>
      </c>
      <c r="S27" t="b">
        <f ca="1">AND(tblRisks[[#This Row],[Status]]&lt;&gt;"Closed",tblRisks[[#This Row],[Next_review_date]]&lt;TODAY())</f>
        <v>0</v>
      </c>
      <c r="T27" t="s">
        <v>82</v>
      </c>
      <c r="U27" t="s">
        <v>165</v>
      </c>
      <c r="V27" t="s">
        <v>166</v>
      </c>
    </row>
    <row r="28" spans="1:22" x14ac:dyDescent="0.2">
      <c r="A28" t="s">
        <v>91</v>
      </c>
      <c r="B28" t="s">
        <v>168</v>
      </c>
      <c r="C28" t="s">
        <v>20</v>
      </c>
      <c r="D28" t="s">
        <v>9</v>
      </c>
      <c r="E28" t="s">
        <v>106</v>
      </c>
      <c r="F28" s="1">
        <v>46041</v>
      </c>
      <c r="G28" t="s">
        <v>21</v>
      </c>
      <c r="H28" s="5">
        <v>1</v>
      </c>
      <c r="I28">
        <v>4</v>
      </c>
      <c r="J28">
        <f>tblRisks[[#This Row],[Likelihood_Inherent]]*tblRisks[[#This Row],[Impact_Inherent]]</f>
        <v>4</v>
      </c>
      <c r="K28" t="s">
        <v>8</v>
      </c>
      <c r="L28">
        <v>1</v>
      </c>
      <c r="M28">
        <v>1</v>
      </c>
      <c r="N28">
        <f>tblRisks[[#This Row],[Likelihood_Residual]]*tblRisks[[#This Row],[Impact_residual]]</f>
        <v>1</v>
      </c>
      <c r="O28" t="str">
        <f>IF(tblRisks[[#This Row],[Score_residual]]&gt;=15,"Outside",IF(tblRisks[[#This Row],[Score_residual]]&gt;=10,"Borderline","Within"))</f>
        <v>Within</v>
      </c>
      <c r="P28" s="1">
        <v>46066</v>
      </c>
      <c r="Q28" s="1">
        <v>46069</v>
      </c>
      <c r="R28" s="5">
        <f>ABS(tblRisks[[#This Row],[Last_review_date]]-tblRisks[[#This Row],[Date_Identified]]
)</f>
        <v>25</v>
      </c>
      <c r="S28" t="b">
        <f ca="1">AND(tblRisks[[#This Row],[Status]]&lt;&gt;"Closed",tblRisks[[#This Row],[Next_review_date]]&lt;TODAY())</f>
        <v>0</v>
      </c>
      <c r="T28" t="s">
        <v>31</v>
      </c>
      <c r="U28" t="s">
        <v>169</v>
      </c>
      <c r="V28" t="s">
        <v>170</v>
      </c>
    </row>
    <row r="29" spans="1:22" hidden="1" x14ac:dyDescent="0.2">
      <c r="F29"/>
      <c r="H29"/>
      <c r="P29"/>
      <c r="Q29"/>
      <c r="R29"/>
    </row>
    <row r="30" spans="1:22" hidden="1" x14ac:dyDescent="0.2">
      <c r="F30"/>
      <c r="H30"/>
      <c r="P30"/>
      <c r="Q30"/>
      <c r="R30"/>
    </row>
    <row r="31" spans="1:22" hidden="1" x14ac:dyDescent="0.2">
      <c r="F31"/>
      <c r="H31"/>
      <c r="P31"/>
      <c r="Q31"/>
      <c r="R31"/>
    </row>
    <row r="32" spans="1:22" hidden="1" x14ac:dyDescent="0.2">
      <c r="F32"/>
      <c r="H32"/>
      <c r="P32"/>
      <c r="Q32"/>
      <c r="R32"/>
    </row>
    <row r="33" customFormat="1" hidden="1" x14ac:dyDescent="0.2"/>
    <row r="34" customFormat="1" hidden="1" x14ac:dyDescent="0.2"/>
    <row r="35" customFormat="1" hidden="1" x14ac:dyDescent="0.2"/>
    <row r="36" customFormat="1" hidden="1" x14ac:dyDescent="0.2"/>
    <row r="37" customFormat="1" hidden="1" x14ac:dyDescent="0.2"/>
    <row r="38" customFormat="1" hidden="1" x14ac:dyDescent="0.2"/>
    <row r="39" customFormat="1" hidden="1" x14ac:dyDescent="0.2"/>
    <row r="40" customFormat="1" hidden="1" x14ac:dyDescent="0.2"/>
    <row r="41" customFormat="1" hidden="1" x14ac:dyDescent="0.2"/>
    <row r="42" customFormat="1" hidden="1" x14ac:dyDescent="0.2"/>
    <row r="43" customFormat="1" hidden="1" x14ac:dyDescent="0.2"/>
    <row r="44" customFormat="1" hidden="1" x14ac:dyDescent="0.2"/>
    <row r="45" customFormat="1" hidden="1" x14ac:dyDescent="0.2"/>
    <row r="46" customFormat="1" hidden="1" x14ac:dyDescent="0.2"/>
    <row r="47" customFormat="1" hidden="1" x14ac:dyDescent="0.2"/>
    <row r="48" customFormat="1" hidden="1" x14ac:dyDescent="0.2"/>
    <row r="49" customFormat="1" hidden="1" x14ac:dyDescent="0.2"/>
    <row r="50" customFormat="1" hidden="1" x14ac:dyDescent="0.2"/>
    <row r="51" customFormat="1" hidden="1" x14ac:dyDescent="0.2"/>
    <row r="52" customFormat="1" hidden="1" x14ac:dyDescent="0.2"/>
    <row r="53" customFormat="1" hidden="1" x14ac:dyDescent="0.2"/>
    <row r="54" customFormat="1" hidden="1" x14ac:dyDescent="0.2"/>
    <row r="55" customFormat="1" hidden="1" x14ac:dyDescent="0.2"/>
    <row r="56" customFormat="1" hidden="1" x14ac:dyDescent="0.2"/>
    <row r="57" customFormat="1" hidden="1" x14ac:dyDescent="0.2"/>
    <row r="58" customFormat="1" hidden="1" x14ac:dyDescent="0.2"/>
    <row r="59" customFormat="1" hidden="1" x14ac:dyDescent="0.2"/>
    <row r="60" customFormat="1" hidden="1" x14ac:dyDescent="0.2"/>
    <row r="61" customFormat="1" x14ac:dyDescent="0.2"/>
    <row r="62" customFormat="1" x14ac:dyDescent="0.2"/>
    <row r="63" customFormat="1" x14ac:dyDescent="0.2"/>
    <row r="64" customFormat="1" x14ac:dyDescent="0.2"/>
    <row r="65" customFormat="1" x14ac:dyDescent="0.2"/>
    <row r="66" customFormat="1" x14ac:dyDescent="0.2"/>
    <row r="81" spans="6:8" x14ac:dyDescent="0.2">
      <c r="F81"/>
      <c r="H81"/>
    </row>
    <row r="82" spans="6:8" x14ac:dyDescent="0.2">
      <c r="F82"/>
      <c r="H82"/>
    </row>
    <row r="83" spans="6:8" x14ac:dyDescent="0.2">
      <c r="F83"/>
      <c r="H83"/>
    </row>
    <row r="84" spans="6:8" x14ac:dyDescent="0.2">
      <c r="F84"/>
      <c r="H84"/>
    </row>
    <row r="85" spans="6:8" x14ac:dyDescent="0.2">
      <c r="F85"/>
      <c r="H85"/>
    </row>
    <row r="86" spans="6:8" x14ac:dyDescent="0.2">
      <c r="F86"/>
      <c r="H86"/>
    </row>
    <row r="87" spans="6:8" x14ac:dyDescent="0.2">
      <c r="H87"/>
    </row>
    <row r="88" spans="6:8" x14ac:dyDescent="0.2">
      <c r="H88"/>
    </row>
    <row r="89" spans="6:8" x14ac:dyDescent="0.2">
      <c r="H89"/>
    </row>
    <row r="90" spans="6:8" x14ac:dyDescent="0.2">
      <c r="H90"/>
    </row>
    <row r="91" spans="6:8" x14ac:dyDescent="0.2">
      <c r="H91"/>
    </row>
  </sheetData>
  <autoFilter ref="X20" xr:uid="{B55C2865-8393-4817-A75B-BB7D931898A0}"/>
  <conditionalFormatting sqref="N2:N28 N856:N1048576">
    <cfRule type="cellIs" dxfId="4" priority="1" operator="between">
      <formula>10</formula>
      <formula>14</formula>
    </cfRule>
    <cfRule type="cellIs" dxfId="3" priority="2" operator="greaterThan">
      <formula>15</formula>
    </cfRule>
    <cfRule type="cellIs" dxfId="2" priority="3" operator="lessThan">
      <formula>10</formula>
    </cfRule>
  </conditionalFormatting>
  <conditionalFormatting sqref="S2:V6 S7:U8 S9:V28">
    <cfRule type="cellIs" dxfId="1" priority="6" operator="equal">
      <formula>TRUE</formula>
    </cfRule>
  </conditionalFormatting>
  <conditionalFormatting sqref="T1:V6 S1:T28 T7:U8 T9:V28 S67:T1048576">
    <cfRule type="cellIs" dxfId="0" priority="7" operator="equal">
      <formula>TRUE</formula>
    </cfRule>
  </conditionalFormatting>
  <dataValidations count="6">
    <dataValidation type="list" allowBlank="1" showInputMessage="1" showErrorMessage="1" sqref="D84:D1048576 D1:D63" xr:uid="{F4E88A3A-542D-4613-B1E5-7EB8F59ED38B}">
      <formula1>BuisnessUnitList</formula1>
    </dataValidation>
    <dataValidation type="list" allowBlank="1" showInputMessage="1" showErrorMessage="1" sqref="G132:G1048576 G1:G71" xr:uid="{B766E4D4-1F2C-49A8-9975-8A00C2BDE79C}">
      <formula1>RiskStatusList</formula1>
    </dataValidation>
    <dataValidation allowBlank="1" showInputMessage="1" showErrorMessage="1" sqref="A1:A5 V1:V6 V9:V1048576 F81:F86 A9:A63 A82:A1048576" xr:uid="{48B57372-C29B-45B1-B981-B1E8F1DA5163}"/>
    <dataValidation type="whole" allowBlank="1" showInputMessage="1" showErrorMessage="1" sqref="L1:L1048576 I92:I1048576 I1:I71" xr:uid="{ECCD837F-FB13-4244-AA32-C79B39D08C29}">
      <formula1>1</formula1>
      <formula2>5</formula2>
    </dataValidation>
    <dataValidation type="whole" errorStyle="warning" allowBlank="1" showInputMessage="1" showErrorMessage="1" errorTitle="Invalid Entry" error="Entry must be integer 1:5_x000a_" sqref="H201:H1048576 H1:H60" xr:uid="{F0A027F6-E34E-4A95-AEE7-7A39921239EB}">
      <formula1>1</formula1>
      <formula2>5</formula2>
    </dataValidation>
    <dataValidation type="list" allowBlank="1" showInputMessage="1" showErrorMessage="1" sqref="K1:K1048576" xr:uid="{E3B8B7E3-8AB8-4306-9CA7-5BFD28DBB340}">
      <formula1>ControlStrengthList</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CAA99E8-F370-4CC4-B16F-D1769EA96732}">
          <x14:formula1>
            <xm:f>Lookups!$A$2:$A$7</xm:f>
          </x14:formula1>
          <xm:sqref>C84:C1048576 C1:C63</xm:sqref>
        </x14:dataValidation>
        <x14:dataValidation type="list" allowBlank="1" showInputMessage="1" showErrorMessage="1" xr:uid="{3C870BCD-69F3-496D-A467-465AD524D7BF}">
          <x14:formula1>
            <xm:f>Lookups!$G$2:$G$5</xm:f>
          </x14:formula1>
          <xm:sqref>T1:T60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3CC7-91DF-492A-B9AE-A0F3568405F1}">
  <dimension ref="A1:L59"/>
  <sheetViews>
    <sheetView tabSelected="1" zoomScaleNormal="161" workbookViewId="0">
      <selection activeCell="L34" sqref="L34"/>
    </sheetView>
  </sheetViews>
  <sheetFormatPr baseColWidth="10" defaultColWidth="8.83203125" defaultRowHeight="15" x14ac:dyDescent="0.2"/>
  <cols>
    <col min="1" max="1" width="14.6640625" bestFit="1" customWidth="1"/>
    <col min="2" max="2" width="14.5" bestFit="1" customWidth="1"/>
    <col min="3" max="3" width="58.33203125" bestFit="1" customWidth="1"/>
    <col min="4" max="4" width="34" bestFit="1" customWidth="1"/>
    <col min="5" max="5" width="12.33203125" style="1" bestFit="1" customWidth="1"/>
    <col min="7" max="7" width="10" bestFit="1" customWidth="1"/>
    <col min="8" max="8" width="20.33203125" style="8" bestFit="1" customWidth="1"/>
    <col min="9" max="9" width="13.5" bestFit="1" customWidth="1"/>
    <col min="10" max="10" width="16.1640625" bestFit="1" customWidth="1"/>
    <col min="11" max="11" width="15.83203125" bestFit="1" customWidth="1"/>
    <col min="12" max="12" width="34.33203125" bestFit="1" customWidth="1"/>
  </cols>
  <sheetData>
    <row r="1" spans="1:12" x14ac:dyDescent="0.2">
      <c r="A1" t="s">
        <v>171</v>
      </c>
      <c r="B1" t="s">
        <v>37</v>
      </c>
      <c r="C1" t="s">
        <v>172</v>
      </c>
      <c r="D1" t="s">
        <v>39</v>
      </c>
      <c r="E1" s="1" t="s">
        <v>173</v>
      </c>
      <c r="F1" t="s">
        <v>41</v>
      </c>
      <c r="G1" t="s">
        <v>5</v>
      </c>
      <c r="H1" s="8" t="s">
        <v>174</v>
      </c>
      <c r="I1" t="s">
        <v>175</v>
      </c>
      <c r="J1" t="s">
        <v>203</v>
      </c>
      <c r="K1" t="s">
        <v>176</v>
      </c>
      <c r="L1" t="s">
        <v>177</v>
      </c>
    </row>
    <row r="2" spans="1:12" ht="21.75" customHeight="1" x14ac:dyDescent="0.2">
      <c r="A2" s="2" t="str" cm="1">
        <f t="array" ref="A2">SUBSTITUTE(INDEX(tblRisks[Risk_ID],ROW()-1),"RSK","ACT")</f>
        <v>ACT-2025-0001</v>
      </c>
      <c r="B2" t="s">
        <v>55</v>
      </c>
      <c r="C2" t="s">
        <v>56</v>
      </c>
      <c r="D2" t="s">
        <v>57</v>
      </c>
      <c r="E2" s="1">
        <f>IFERROR(VLOOKUP(tblActions[[#This Row],[Risk_ID]], tblRisks[], MATCH("Next_review_date", tblRisks[#Headers], 0), FALSE), "")</f>
        <v>45993</v>
      </c>
      <c r="F2" t="s">
        <v>33</v>
      </c>
      <c r="G2" t="s">
        <v>11</v>
      </c>
      <c r="H2" s="7">
        <v>1</v>
      </c>
      <c r="I2" t="b">
        <f ca="1">IF(tblActions[[#This Row],[Status]]="Closed",FALSE,IF(tblActions[[#This Row],[Due_Date]]="",FALSE,tblActions[[#This Row],[Due_Date]]&lt;TODAY()))</f>
        <v>0</v>
      </c>
      <c r="J2" t="str">
        <f ca="1">IF(tblActions[[#This Row],[Status]]="Closed","",IF(tblActions[[#This Row],[Due_Date]]="","",MAX(0,TODAY()-tblActions[[#This Row],[Due_Date]])))</f>
        <v/>
      </c>
      <c r="K2" s="2"/>
    </row>
    <row r="3" spans="1:12" x14ac:dyDescent="0.2">
      <c r="A3" t="str" cm="1">
        <f t="array" ref="A3">SUBSTITUTE(INDEX(tblRisks[Risk_ID],ROW()-1),"RSK","ACT")</f>
        <v>ACT-2025-0002</v>
      </c>
      <c r="B3" t="s">
        <v>60</v>
      </c>
      <c r="C3" t="s">
        <v>61</v>
      </c>
      <c r="D3" t="s">
        <v>62</v>
      </c>
      <c r="E3" s="1">
        <f>IFERROR(VLOOKUP(tblActions[[#This Row],[Risk_ID]], tblRisks[], MATCH("Next_review_date", tblRisks[#Headers], 0), FALSE), "")</f>
        <v>45993</v>
      </c>
      <c r="F3" t="s">
        <v>33</v>
      </c>
      <c r="G3" t="s">
        <v>25</v>
      </c>
      <c r="H3" s="7">
        <v>1</v>
      </c>
      <c r="I3" t="b">
        <f ca="1">IF(tblActions[[#This Row],[Status]]="Closed",FALSE,IF(tblActions[[#This Row],[Due_Date]]="",FALSE,tblActions[[#This Row],[Due_Date]]&lt;TODAY()))</f>
        <v>0</v>
      </c>
      <c r="J3" t="str">
        <f ca="1">IF(tblActions[[#This Row],[Status]]="Closed","",IF(tblActions[[#This Row],[Due_Date]]="","",MAX(0,TODAY()-tblActions[[#This Row],[Due_Date]])))</f>
        <v/>
      </c>
    </row>
    <row r="4" spans="1:12" x14ac:dyDescent="0.2">
      <c r="A4" t="str" cm="1">
        <f t="array" ref="A4">SUBSTITUTE(INDEX(tblRisks[Risk_ID],ROW()-1),"RSK","ACT")</f>
        <v>ACT-2025-0003</v>
      </c>
      <c r="B4" t="s">
        <v>66</v>
      </c>
      <c r="C4" t="s">
        <v>67</v>
      </c>
      <c r="D4" t="s">
        <v>68</v>
      </c>
      <c r="E4" s="1">
        <f>IFERROR(VLOOKUP(tblActions[[#This Row],[Risk_ID]], tblRisks[], MATCH("Next_review_date", tblRisks[#Headers], 0), FALSE), "")</f>
        <v>45994</v>
      </c>
      <c r="F4" t="s">
        <v>33</v>
      </c>
      <c r="G4" t="s">
        <v>25</v>
      </c>
      <c r="H4" s="7">
        <v>1</v>
      </c>
      <c r="I4" t="b">
        <f ca="1">IF(tblActions[[#This Row],[Status]]="Closed",FALSE,IF(tblActions[[#This Row],[Due_Date]]="",FALSE,tblActions[[#This Row],[Due_Date]]&lt;TODAY()))</f>
        <v>0</v>
      </c>
      <c r="J4" t="str">
        <f ca="1">IF(tblActions[[#This Row],[Status]]="Closed","",IF(tblActions[[#This Row],[Due_Date]]="","",MAX(0,TODAY()-tblActions[[#This Row],[Due_Date]])))</f>
        <v/>
      </c>
    </row>
    <row r="5" spans="1:12" x14ac:dyDescent="0.2">
      <c r="A5" t="str" cm="1">
        <f t="array" ref="A5">SUBSTITUTE(INDEX(tblRisks[Risk_ID],ROW()-1),"RSK","ACT")</f>
        <v>ACT-2025-0004</v>
      </c>
      <c r="B5" t="s">
        <v>71</v>
      </c>
      <c r="C5" t="s">
        <v>56</v>
      </c>
      <c r="D5" t="s">
        <v>72</v>
      </c>
      <c r="E5" s="1">
        <f>IFERROR(VLOOKUP(tblActions[[#This Row],[Risk_ID]], tblRisks[], MATCH("Next_review_date", tblRisks[#Headers], 0), FALSE), "")</f>
        <v>45996</v>
      </c>
      <c r="F5" t="s">
        <v>33</v>
      </c>
      <c r="G5" t="s">
        <v>11</v>
      </c>
      <c r="H5" s="7">
        <v>1</v>
      </c>
      <c r="I5" t="b">
        <f ca="1">IF(tblActions[[#This Row],[Status]]="Closed",FALSE,IF(tblActions[[#This Row],[Due_Date]]="",FALSE,tblActions[[#This Row],[Due_Date]]&lt;TODAY()))</f>
        <v>0</v>
      </c>
      <c r="J5" t="str">
        <f ca="1">IF(tblActions[[#This Row],[Status]]="Closed","",IF(tblActions[[#This Row],[Due_Date]]="","",MAX(0,TODAY()-tblActions[[#This Row],[Due_Date]])))</f>
        <v/>
      </c>
    </row>
    <row r="6" spans="1:12" x14ac:dyDescent="0.2">
      <c r="A6" t="str" cm="1">
        <f t="array" ref="A6">SUBSTITUTE(INDEX(tblRisks[Risk_ID],ROW()-1),"RSK","ACT")</f>
        <v>ACT-2025-0005</v>
      </c>
      <c r="B6" t="s">
        <v>75</v>
      </c>
      <c r="C6" t="s">
        <v>76</v>
      </c>
      <c r="D6" t="s">
        <v>77</v>
      </c>
      <c r="E6" s="1">
        <f>IFERROR(VLOOKUP(tblActions[[#This Row],[Risk_ID]], tblRisks[], MATCH("Next_review_date", tblRisks[#Headers], 0), FALSE), "")</f>
        <v>45993</v>
      </c>
      <c r="F6" t="s">
        <v>33</v>
      </c>
      <c r="G6" t="s">
        <v>18</v>
      </c>
      <c r="H6" s="7">
        <v>1</v>
      </c>
      <c r="I6" t="b">
        <f ca="1">IF(tblActions[[#This Row],[Status]]="Closed",FALSE,IF(tblActions[[#This Row],[Due_Date]]="",FALSE,tblActions[[#This Row],[Due_Date]]&lt;TODAY()))</f>
        <v>0</v>
      </c>
      <c r="J6" t="str">
        <f ca="1">IF(tblActions[[#This Row],[Status]]="Closed","",IF(tblActions[[#This Row],[Due_Date]]="","",MAX(0,TODAY()-tblActions[[#This Row],[Due_Date]])))</f>
        <v/>
      </c>
    </row>
    <row r="7" spans="1:12" x14ac:dyDescent="0.2">
      <c r="A7" t="str" cm="1">
        <f t="array" ref="A7">SUBSTITUTE(INDEX(tblRisks[Risk_ID],ROW()-1),"RSK","ACT")</f>
        <v>ACT-2025-0006</v>
      </c>
      <c r="B7" t="s">
        <v>80</v>
      </c>
      <c r="C7" t="s">
        <v>81</v>
      </c>
      <c r="D7" t="s">
        <v>72</v>
      </c>
      <c r="E7" s="1">
        <f>IFERROR(VLOOKUP(tblActions[[#This Row],[Risk_ID]], tblRisks[], MATCH("Next_review_date", tblRisks[#Headers], 0), FALSE), "")</f>
        <v>45995</v>
      </c>
      <c r="F7" t="s">
        <v>33</v>
      </c>
      <c r="G7" t="s">
        <v>18</v>
      </c>
      <c r="H7" s="7">
        <v>1</v>
      </c>
      <c r="I7" t="b">
        <f ca="1">IF(tblActions[[#This Row],[Status]]="Closed",FALSE,IF(tblActions[[#This Row],[Due_Date]]="",FALSE,tblActions[[#This Row],[Due_Date]]&lt;TODAY()))</f>
        <v>0</v>
      </c>
      <c r="J7" t="str">
        <f ca="1">IF(tblActions[[#This Row],[Status]]="Closed","",IF(tblActions[[#This Row],[Due_Date]]="","",MAX(0,TODAY()-tblActions[[#This Row],[Due_Date]])))</f>
        <v/>
      </c>
    </row>
    <row r="8" spans="1:12" x14ac:dyDescent="0.2">
      <c r="A8" t="str" cm="1">
        <f t="array" ref="A8">SUBSTITUTE(INDEX(tblRisks[Risk_ID],ROW()-1),"RSK","ACT")</f>
        <v>ACT-2025-0007</v>
      </c>
      <c r="B8" t="s">
        <v>85</v>
      </c>
      <c r="C8" t="s">
        <v>86</v>
      </c>
      <c r="D8" t="s">
        <v>87</v>
      </c>
      <c r="E8" s="1">
        <f>IFERROR(VLOOKUP(tblActions[[#This Row],[Risk_ID]], tblRisks[], MATCH("Next_review_date", tblRisks[#Headers], 0), FALSE), "")</f>
        <v>46000</v>
      </c>
      <c r="F8" t="s">
        <v>33</v>
      </c>
      <c r="G8" t="s">
        <v>11</v>
      </c>
      <c r="H8" s="7">
        <v>1</v>
      </c>
      <c r="I8" t="b">
        <f ca="1">IF(tblActions[[#This Row],[Status]]="Closed",FALSE,IF(tblActions[[#This Row],[Due_Date]]="",FALSE,tblActions[[#This Row],[Due_Date]]&lt;TODAY()))</f>
        <v>0</v>
      </c>
      <c r="J8" t="str">
        <f ca="1">IF(tblActions[[#This Row],[Status]]="Closed","",IF(tblActions[[#This Row],[Due_Date]]="","",MAX(0,TODAY()-tblActions[[#This Row],[Due_Date]])))</f>
        <v/>
      </c>
    </row>
    <row r="9" spans="1:12" x14ac:dyDescent="0.2">
      <c r="A9" t="str" cm="1">
        <f t="array" ref="A9">SUBSTITUTE(INDEX(tblRisks[Risk_ID],ROW()-1),"RSK","ACT")</f>
        <v>ACT-2026-0008</v>
      </c>
      <c r="B9" t="s">
        <v>178</v>
      </c>
      <c r="C9" t="s">
        <v>125</v>
      </c>
      <c r="D9" t="s">
        <v>93</v>
      </c>
      <c r="E9" s="1">
        <f>IFERROR(VLOOKUP(tblActions[[#This Row],[Risk_ID]], tblRisks[], MATCH("Next_review_date", tblRisks[#Headers], 0), FALSE), "")</f>
        <v>46072</v>
      </c>
      <c r="F9" t="s">
        <v>28</v>
      </c>
      <c r="G9" t="s">
        <v>25</v>
      </c>
      <c r="H9" s="8">
        <v>0.75</v>
      </c>
      <c r="I9" t="b">
        <f ca="1">IF(tblActions[[#This Row],[Status]]="Closed",FALSE,IF(tblActions[[#This Row],[Due_Date]]="",FALSE,tblActions[[#This Row],[Due_Date]]&lt;TODAY()))</f>
        <v>0</v>
      </c>
      <c r="J9">
        <f ca="1">IF(tblActions[[#This Row],[Status]]="Closed","",IF(tblActions[[#This Row],[Due_Date]]="","",MAX(0,TODAY()-tblActions[[#This Row],[Due_Date]])))</f>
        <v>0</v>
      </c>
    </row>
    <row r="10" spans="1:12" x14ac:dyDescent="0.2">
      <c r="A10" t="str" cm="1">
        <f t="array" ref="A10">SUBSTITUTE(INDEX(tblRisks[Risk_ID],ROW()-1),"RSK","ACT")</f>
        <v>ACT-2025-0009</v>
      </c>
      <c r="B10" t="s">
        <v>96</v>
      </c>
      <c r="C10" t="s">
        <v>97</v>
      </c>
      <c r="D10" t="s">
        <v>57</v>
      </c>
      <c r="E10" s="1">
        <f>IFERROR(VLOOKUP(tblActions[[#This Row],[Risk_ID]], tblRisks[], MATCH("Next_review_date", tblRisks[#Headers], 0), FALSE), "")</f>
        <v>46003</v>
      </c>
      <c r="F10" t="s">
        <v>33</v>
      </c>
      <c r="G10" t="s">
        <v>11</v>
      </c>
      <c r="H10" s="7">
        <v>1</v>
      </c>
      <c r="I10" t="b">
        <f ca="1">IF(tblActions[[#This Row],[Status]]="Closed",FALSE,IF(tblActions[[#This Row],[Due_Date]]="",FALSE,tblActions[[#This Row],[Due_Date]]&lt;TODAY()))</f>
        <v>0</v>
      </c>
      <c r="J10" t="str">
        <f ca="1">IF(tblActions[[#This Row],[Status]]="Closed","",IF(tblActions[[#This Row],[Due_Date]]="","",MAX(0,TODAY()-tblActions[[#This Row],[Due_Date]])))</f>
        <v/>
      </c>
    </row>
    <row r="11" spans="1:12" x14ac:dyDescent="0.2">
      <c r="A11" t="str" cm="1">
        <f t="array" ref="A11">SUBSTITUTE(INDEX(tblRisks[Risk_ID],ROW()-1),"RSK","ACT")</f>
        <v>ACT-2026-0010</v>
      </c>
      <c r="B11" t="s">
        <v>179</v>
      </c>
      <c r="C11" t="s">
        <v>144</v>
      </c>
      <c r="D11" t="s">
        <v>68</v>
      </c>
      <c r="E11" s="1">
        <f>IFERROR(VLOOKUP(tblActions[[#This Row],[Risk_ID]], tblRisks[], MATCH("Next_review_date", tblRisks[#Headers], 0), FALSE), "")</f>
        <v>46071</v>
      </c>
      <c r="F11" t="s">
        <v>21</v>
      </c>
      <c r="G11" t="s">
        <v>25</v>
      </c>
      <c r="H11" s="8">
        <v>0.5</v>
      </c>
      <c r="I11" t="b">
        <f ca="1">IF(tblActions[[#This Row],[Status]]="Closed",FALSE,IF(tblActions[[#This Row],[Due_Date]]="",FALSE,tblActions[[#This Row],[Due_Date]]&lt;TODAY()))</f>
        <v>0</v>
      </c>
      <c r="J11">
        <f ca="1">IF(tblActions[[#This Row],[Status]]="Closed","",IF(tblActions[[#This Row],[Due_Date]]="","",MAX(0,TODAY()-tblActions[[#This Row],[Due_Date]])))</f>
        <v>0</v>
      </c>
    </row>
    <row r="12" spans="1:12" x14ac:dyDescent="0.2">
      <c r="A12" t="str" cm="1">
        <f t="array" ref="A12">SUBSTITUTE(INDEX(tblRisks[Risk_ID],ROW()-1),"RSK","ACT")</f>
        <v>ACT-2025-0011</v>
      </c>
      <c r="B12" t="s">
        <v>104</v>
      </c>
      <c r="C12" t="s">
        <v>105</v>
      </c>
      <c r="D12" t="s">
        <v>106</v>
      </c>
      <c r="E12" s="1">
        <f>IFERROR(VLOOKUP(tblActions[[#This Row],[Risk_ID]], tblRisks[], MATCH("Next_review_date", tblRisks[#Headers], 0), FALSE), "")</f>
        <v>46009</v>
      </c>
      <c r="F12" t="s">
        <v>33</v>
      </c>
      <c r="G12" t="s">
        <v>25</v>
      </c>
      <c r="H12" s="7">
        <v>1</v>
      </c>
      <c r="I12" t="b">
        <f ca="1">IF(tblActions[[#This Row],[Status]]="Closed",FALSE,IF(tblActions[[#This Row],[Due_Date]]="",FALSE,tblActions[[#This Row],[Due_Date]]&lt;TODAY()))</f>
        <v>0</v>
      </c>
      <c r="J12" t="str">
        <f ca="1">IF(tblActions[[#This Row],[Status]]="Closed","",IF(tblActions[[#This Row],[Due_Date]]="","",MAX(0,TODAY()-tblActions[[#This Row],[Due_Date]])))</f>
        <v/>
      </c>
    </row>
    <row r="13" spans="1:12" x14ac:dyDescent="0.2">
      <c r="A13" t="str" cm="1">
        <f t="array" ref="A13">SUBSTITUTE(INDEX(tblRisks[Risk_ID],ROW()-1),"RSK","ACT")</f>
        <v>ACT-2026-0012</v>
      </c>
      <c r="B13" t="s">
        <v>180</v>
      </c>
      <c r="C13" t="s">
        <v>147</v>
      </c>
      <c r="D13" t="s">
        <v>148</v>
      </c>
      <c r="E13" s="1">
        <f>IFERROR(VLOOKUP(tblActions[[#This Row],[Risk_ID]], tblRisks[], MATCH("Next_review_date", tblRisks[#Headers], 0), FALSE), "")</f>
        <v>46069</v>
      </c>
      <c r="F13" t="s">
        <v>28</v>
      </c>
      <c r="G13" t="s">
        <v>25</v>
      </c>
      <c r="H13" s="8">
        <v>0.75</v>
      </c>
      <c r="I13" t="b">
        <f ca="1">IF(tblActions[[#This Row],[Status]]="Closed",FALSE,IF(tblActions[[#This Row],[Due_Date]]="",FALSE,tblActions[[#This Row],[Due_Date]]&lt;TODAY()))</f>
        <v>0</v>
      </c>
      <c r="J13">
        <f ca="1">IF(tblActions[[#This Row],[Status]]="Closed","",IF(tblActions[[#This Row],[Due_Date]]="","",MAX(0,TODAY()-tblActions[[#This Row],[Due_Date]])))</f>
        <v>0</v>
      </c>
    </row>
    <row r="14" spans="1:12" x14ac:dyDescent="0.2">
      <c r="A14" t="str" cm="1">
        <f t="array" ref="A14">SUBSTITUTE(INDEX(tblRisks[Risk_ID],ROW()-1),"RSK","ACT")</f>
        <v>ACT-2026-0013</v>
      </c>
      <c r="B14" t="s">
        <v>113</v>
      </c>
      <c r="C14" t="s">
        <v>114</v>
      </c>
      <c r="D14" t="s">
        <v>57</v>
      </c>
      <c r="E14" s="1">
        <f>IFERROR(VLOOKUP(tblActions[[#This Row],[Risk_ID]], tblRisks[], MATCH("Next_review_date", tblRisks[#Headers], 0), FALSE), "")</f>
        <v>46029</v>
      </c>
      <c r="F14" t="s">
        <v>33</v>
      </c>
      <c r="G14" t="s">
        <v>11</v>
      </c>
      <c r="H14" s="7">
        <v>1</v>
      </c>
      <c r="I14" t="b">
        <f ca="1">IF(tblActions[[#This Row],[Status]]="Closed",FALSE,IF(tblActions[[#This Row],[Due_Date]]="",FALSE,tblActions[[#This Row],[Due_Date]]&lt;TODAY()))</f>
        <v>0</v>
      </c>
      <c r="J14" t="str">
        <f ca="1">IF(tblActions[[#This Row],[Status]]="Closed","",IF(tblActions[[#This Row],[Due_Date]]="","",MAX(0,TODAY()-tblActions[[#This Row],[Due_Date]])))</f>
        <v/>
      </c>
    </row>
    <row r="15" spans="1:12" x14ac:dyDescent="0.2">
      <c r="A15" t="str" cm="1">
        <f t="array" ref="A15">SUBSTITUTE(INDEX(tblRisks[Risk_ID],ROW()-1),"RSK","ACT")</f>
        <v>ACT-2026-0014</v>
      </c>
      <c r="B15" t="s">
        <v>117</v>
      </c>
      <c r="C15" t="s">
        <v>118</v>
      </c>
      <c r="D15" t="s">
        <v>106</v>
      </c>
      <c r="E15" s="1">
        <f>IFERROR(VLOOKUP(tblActions[[#This Row],[Risk_ID]], tblRisks[], MATCH("Next_review_date", tblRisks[#Headers], 0), FALSE), "")</f>
        <v>46030</v>
      </c>
      <c r="F15" t="s">
        <v>33</v>
      </c>
      <c r="G15" t="s">
        <v>18</v>
      </c>
      <c r="H15" s="7">
        <v>1</v>
      </c>
      <c r="I15" t="b">
        <f ca="1">IF(tblActions[[#This Row],[Status]]="Closed",FALSE,IF(tblActions[[#This Row],[Due_Date]]="",FALSE,tblActions[[#This Row],[Due_Date]]&lt;TODAY()))</f>
        <v>0</v>
      </c>
      <c r="J15" t="str">
        <f ca="1">IF(tblActions[[#This Row],[Status]]="Closed","",IF(tblActions[[#This Row],[Due_Date]]="","",MAX(0,TODAY()-tblActions[[#This Row],[Due_Date]])))</f>
        <v/>
      </c>
    </row>
    <row r="16" spans="1:12" x14ac:dyDescent="0.2">
      <c r="A16" t="str" cm="1">
        <f t="array" ref="A16">SUBSTITUTE(INDEX(tblRisks[Risk_ID],ROW()-1),"RSK","ACT")</f>
        <v>ACT-2026-0015</v>
      </c>
      <c r="B16" t="s">
        <v>121</v>
      </c>
      <c r="C16" t="s">
        <v>122</v>
      </c>
      <c r="D16" t="s">
        <v>57</v>
      </c>
      <c r="E16" s="1">
        <f>IFERROR(VLOOKUP(tblActions[[#This Row],[Risk_ID]], tblRisks[], MATCH("Next_review_date", tblRisks[#Headers], 0), FALSE), "")</f>
        <v>46034</v>
      </c>
      <c r="F16" t="s">
        <v>33</v>
      </c>
      <c r="G16" t="s">
        <v>11</v>
      </c>
      <c r="H16" s="7">
        <v>1</v>
      </c>
      <c r="I16" t="b">
        <f ca="1">IF(tblActions[[#This Row],[Status]]="Closed",FALSE,IF(tblActions[[#This Row],[Due_Date]]="",FALSE,tblActions[[#This Row],[Due_Date]]&lt;TODAY()))</f>
        <v>0</v>
      </c>
      <c r="J16" t="str">
        <f ca="1">IF(tblActions[[#This Row],[Status]]="Closed","",IF(tblActions[[#This Row],[Due_Date]]="","",MAX(0,TODAY()-tblActions[[#This Row],[Due_Date]])))</f>
        <v/>
      </c>
    </row>
    <row r="17" spans="1:12" x14ac:dyDescent="0.2">
      <c r="A17" t="str" cm="1">
        <f t="array" ref="A17">SUBSTITUTE(INDEX(tblRisks[Risk_ID],ROW()-1),"RSK","ACT")</f>
        <v>ACT-2025-0016</v>
      </c>
      <c r="B17" t="s">
        <v>100</v>
      </c>
      <c r="C17" t="s">
        <v>101</v>
      </c>
      <c r="D17" t="s">
        <v>93</v>
      </c>
      <c r="E17" s="1" t="str">
        <f>IFERROR(VLOOKUP(tblActions[[#This Row],[Risk_ID]], tblRisks[], MATCH("Next_review_date", tblRisks[#Headers], 0), FALSE), "")</f>
        <v/>
      </c>
      <c r="F17" t="s">
        <v>21</v>
      </c>
      <c r="G17" t="s">
        <v>30</v>
      </c>
      <c r="H17" s="8">
        <v>0.5</v>
      </c>
      <c r="I17" t="b">
        <f ca="1">IF(tblActions[[#This Row],[Status]]="Closed",FALSE,IF(tblActions[[#This Row],[Due_Date]]="",FALSE,tblActions[[#This Row],[Due_Date]]&lt;TODAY()))</f>
        <v>0</v>
      </c>
      <c r="J17" t="str">
        <f ca="1">IF(tblActions[[#This Row],[Status]]="Closed","",IF(tblActions[[#This Row],[Due_Date]]="","",MAX(0,TODAY()-tblActions[[#This Row],[Due_Date]])))</f>
        <v/>
      </c>
      <c r="K17" s="1">
        <v>46066</v>
      </c>
      <c r="L17" t="s">
        <v>227</v>
      </c>
    </row>
    <row r="18" spans="1:12" x14ac:dyDescent="0.2">
      <c r="A18" t="str" cm="1">
        <f t="array" ref="A18">SUBSTITUTE(INDEX(tblRisks[Risk_ID],ROW()-1),"RSK","ACT")</f>
        <v>ACT-2026-0017</v>
      </c>
      <c r="B18" t="s">
        <v>128</v>
      </c>
      <c r="C18" t="s">
        <v>129</v>
      </c>
      <c r="D18" t="s">
        <v>57</v>
      </c>
      <c r="E18" s="1">
        <f>IFERROR(VLOOKUP(tblActions[[#This Row],[Risk_ID]], tblRisks[], MATCH("Next_review_date", tblRisks[#Headers], 0), FALSE), "")</f>
        <v>46038</v>
      </c>
      <c r="F18" t="s">
        <v>33</v>
      </c>
      <c r="G18" t="s">
        <v>25</v>
      </c>
      <c r="H18" s="7">
        <v>1</v>
      </c>
      <c r="I18" t="b">
        <f ca="1">IF(tblActions[[#This Row],[Status]]="Closed",FALSE,IF(tblActions[[#This Row],[Due_Date]]="",FALSE,tblActions[[#This Row],[Due_Date]]&lt;TODAY()))</f>
        <v>0</v>
      </c>
      <c r="J18" t="str">
        <f ca="1">IF(tblActions[[#This Row],[Status]]="Closed","",IF(tblActions[[#This Row],[Due_Date]]="","",MAX(0,TODAY()-tblActions[[#This Row],[Due_Date]])))</f>
        <v/>
      </c>
    </row>
    <row r="19" spans="1:12" x14ac:dyDescent="0.2">
      <c r="A19" t="str" cm="1">
        <f t="array" ref="A19">SUBSTITUTE(INDEX(tblRisks[Risk_ID],ROW()-1),"RSK","ACT")</f>
        <v>ACT-2026-0018</v>
      </c>
      <c r="B19" t="s">
        <v>132</v>
      </c>
      <c r="C19" t="s">
        <v>133</v>
      </c>
      <c r="D19" t="s">
        <v>87</v>
      </c>
      <c r="E19" s="1">
        <f>IFERROR(VLOOKUP(tblActions[[#This Row],[Risk_ID]], tblRisks[], MATCH("Next_review_date", tblRisks[#Headers], 0), FALSE), "")</f>
        <v>46041</v>
      </c>
      <c r="F19" t="s">
        <v>33</v>
      </c>
      <c r="G19" t="s">
        <v>11</v>
      </c>
      <c r="H19" s="7">
        <v>1</v>
      </c>
      <c r="I19" t="b">
        <f ca="1">IF(tblActions[[#This Row],[Status]]="Closed",FALSE,IF(tblActions[[#This Row],[Due_Date]]="",FALSE,tblActions[[#This Row],[Due_Date]]&lt;TODAY()))</f>
        <v>0</v>
      </c>
      <c r="J19" t="str">
        <f ca="1">IF(tblActions[[#This Row],[Status]]="Closed","",IF(tblActions[[#This Row],[Due_Date]]="","",MAX(0,TODAY()-tblActions[[#This Row],[Due_Date]])))</f>
        <v/>
      </c>
    </row>
    <row r="20" spans="1:12" x14ac:dyDescent="0.2">
      <c r="A20" t="str" cm="1">
        <f t="array" ref="A20">SUBSTITUTE(INDEX(tblRisks[Risk_ID],ROW()-1),"RSK","ACT")</f>
        <v>ACT-2026-0019</v>
      </c>
      <c r="B20" t="s">
        <v>136</v>
      </c>
      <c r="C20" t="s">
        <v>137</v>
      </c>
      <c r="D20" t="s">
        <v>93</v>
      </c>
      <c r="E20" s="1">
        <f>IFERROR(VLOOKUP(tblActions[[#This Row],[Risk_ID]], tblRisks[], MATCH("Next_review_date", tblRisks[#Headers], 0), FALSE), "")</f>
        <v>46041</v>
      </c>
      <c r="F20" t="s">
        <v>33</v>
      </c>
      <c r="G20" t="s">
        <v>11</v>
      </c>
      <c r="H20" s="7">
        <v>1</v>
      </c>
      <c r="I20" t="b">
        <f ca="1">IF(tblActions[[#This Row],[Status]]="Closed",FALSE,IF(tblActions[[#This Row],[Due_Date]]="",FALSE,tblActions[[#This Row],[Due_Date]]&lt;TODAY()))</f>
        <v>0</v>
      </c>
      <c r="J20" t="str">
        <f ca="1">IF(tblActions[[#This Row],[Status]]="Closed","",IF(tblActions[[#This Row],[Due_Date]]="","",MAX(0,TODAY()-tblActions[[#This Row],[Due_Date]])))</f>
        <v/>
      </c>
    </row>
    <row r="21" spans="1:12" x14ac:dyDescent="0.2">
      <c r="A21" t="str" cm="1">
        <f t="array" ref="A21">SUBSTITUTE(INDEX(tblRisks[Risk_ID],ROW()-1),"RSK","ACT")</f>
        <v>ACT-2026-0020</v>
      </c>
      <c r="B21" t="s">
        <v>140</v>
      </c>
      <c r="C21" t="s">
        <v>141</v>
      </c>
      <c r="D21" t="s">
        <v>72</v>
      </c>
      <c r="E21" s="1">
        <f>IFERROR(VLOOKUP(tblActions[[#This Row],[Risk_ID]], tblRisks[], MATCH("Next_review_date", tblRisks[#Headers], 0), FALSE), "")</f>
        <v>46043</v>
      </c>
      <c r="F21" t="s">
        <v>33</v>
      </c>
      <c r="G21" t="s">
        <v>11</v>
      </c>
      <c r="H21" s="7">
        <v>1</v>
      </c>
      <c r="I21" t="b">
        <f ca="1">IF(tblActions[[#This Row],[Status]]="Closed",FALSE,IF(tblActions[[#This Row],[Due_Date]]="",FALSE,tblActions[[#This Row],[Due_Date]]&lt;TODAY()))</f>
        <v>0</v>
      </c>
      <c r="J21" t="str">
        <f ca="1">IF(tblActions[[#This Row],[Status]]="Closed","",IF(tblActions[[#This Row],[Due_Date]]="","",MAX(0,TODAY()-tblActions[[#This Row],[Due_Date]])))</f>
        <v/>
      </c>
    </row>
    <row r="22" spans="1:12" x14ac:dyDescent="0.2">
      <c r="A22" t="str" cm="1">
        <f t="array" ref="A22">SUBSTITUTE(INDEX(tblRisks[Risk_ID],ROW()-1),"RSK","ACT")</f>
        <v>ACT-2025-0021</v>
      </c>
      <c r="B22" t="s">
        <v>163</v>
      </c>
      <c r="C22" s="3" t="s">
        <v>164</v>
      </c>
      <c r="D22" t="s">
        <v>57</v>
      </c>
      <c r="E22" s="1" t="str">
        <f>IFERROR(VLOOKUP(tblActions[[#This Row],[Risk_ID]], tblRisks[], MATCH("Next_review_date", tblRisks[#Headers], 0), FALSE), "")</f>
        <v/>
      </c>
      <c r="F22" t="s">
        <v>21</v>
      </c>
      <c r="G22" t="s">
        <v>11</v>
      </c>
      <c r="H22" s="8">
        <v>0.25</v>
      </c>
      <c r="I22" t="b">
        <f ca="1">IF(tblActions[[#This Row],[Status]]="Closed",FALSE,IF(tblActions[[#This Row],[Due_Date]]="",FALSE,tblActions[[#This Row],[Due_Date]]&lt;TODAY()))</f>
        <v>0</v>
      </c>
      <c r="J22" t="str">
        <f ca="1">IF(tblActions[[#This Row],[Status]]="Closed","",IF(tblActions[[#This Row],[Due_Date]]="","",MAX(0,TODAY()-tblActions[[#This Row],[Due_Date]])))</f>
        <v/>
      </c>
      <c r="K22" s="1">
        <v>46066</v>
      </c>
    </row>
    <row r="23" spans="1:12" x14ac:dyDescent="0.2">
      <c r="A23" t="str" cm="1">
        <f t="array" ref="A23">SUBSTITUTE(INDEX(tblRisks[Risk_ID],ROW()-1),"RSK","ACT")</f>
        <v>ACT-2025-0022</v>
      </c>
      <c r="B23" t="s">
        <v>167</v>
      </c>
      <c r="C23" t="s">
        <v>168</v>
      </c>
      <c r="D23" t="s">
        <v>106</v>
      </c>
      <c r="E23" s="1" t="str">
        <f>IFERROR(VLOOKUP(tblActions[[#This Row],[Risk_ID]], tblRisks[], MATCH("Next_review_date", tblRisks[#Headers], 0), FALSE), "")</f>
        <v/>
      </c>
      <c r="F23" t="s">
        <v>21</v>
      </c>
      <c r="G23" t="s">
        <v>18</v>
      </c>
      <c r="H23" s="8">
        <v>0.25</v>
      </c>
      <c r="I23" t="b">
        <f ca="1">IF(tblActions[[#This Row],[Status]]="Closed",FALSE,IF(tblActions[[#This Row],[Due_Date]]="",FALSE,tblActions[[#This Row],[Due_Date]]&lt;TODAY()))</f>
        <v>0</v>
      </c>
      <c r="J23" t="str">
        <f ca="1">IF(tblActions[[#This Row],[Status]]="Closed","",IF(tblActions[[#This Row],[Due_Date]]="","",MAX(0,TODAY()-tblActions[[#This Row],[Due_Date]])))</f>
        <v/>
      </c>
      <c r="K23" s="1">
        <v>46066</v>
      </c>
    </row>
    <row r="24" spans="1:12" x14ac:dyDescent="0.2">
      <c r="A24" t="str" cm="1">
        <f t="array" ref="A24">SUBSTITUTE(INDEX(tblRisks[Risk_ID],ROW()-1),"RSK","ACT")</f>
        <v>ACT-2026-0023</v>
      </c>
      <c r="B24" t="s">
        <v>151</v>
      </c>
      <c r="C24" t="s">
        <v>152</v>
      </c>
      <c r="D24" t="s">
        <v>72</v>
      </c>
      <c r="E24" s="1">
        <f>IFERROR(VLOOKUP(tblActions[[#This Row],[Risk_ID]], tblRisks[], MATCH("Next_review_date", tblRisks[#Headers], 0), FALSE), "")</f>
        <v>46071</v>
      </c>
      <c r="F24" t="s">
        <v>28</v>
      </c>
      <c r="G24" t="s">
        <v>11</v>
      </c>
      <c r="H24" s="8">
        <v>0.75</v>
      </c>
      <c r="I24" t="b">
        <f ca="1">IF(tblActions[[#This Row],[Status]]="Closed",FALSE,IF(tblActions[[#This Row],[Due_Date]]="",FALSE,tblActions[[#This Row],[Due_Date]]&lt;TODAY()))</f>
        <v>0</v>
      </c>
      <c r="J24">
        <f ca="1">IF(tblActions[[#This Row],[Status]]="Closed","",IF(tblActions[[#This Row],[Due_Date]]="","",MAX(0,TODAY()-tblActions[[#This Row],[Due_Date]])))</f>
        <v>0</v>
      </c>
      <c r="K24" s="1">
        <v>46066</v>
      </c>
    </row>
    <row r="25" spans="1:12" x14ac:dyDescent="0.2">
      <c r="A25" t="str" cm="1">
        <f t="array" ref="A25">SUBSTITUTE(INDEX(tblRisks[Risk_ID],ROW()-1),"RSK","ACT")</f>
        <v>ACT-2026-0024</v>
      </c>
      <c r="B25" t="s">
        <v>155</v>
      </c>
      <c r="C25" t="s">
        <v>156</v>
      </c>
      <c r="D25" t="s">
        <v>72</v>
      </c>
      <c r="E25" s="1">
        <f>IFERROR(VLOOKUP(tblActions[[#This Row],[Risk_ID]], tblRisks[], MATCH("Next_review_date", tblRisks[#Headers], 0), FALSE), "")</f>
        <v>46070</v>
      </c>
      <c r="F25" t="s">
        <v>14</v>
      </c>
      <c r="G25" t="s">
        <v>25</v>
      </c>
      <c r="H25" s="7">
        <v>0</v>
      </c>
      <c r="I25" t="b">
        <f ca="1">IF(tblActions[[#This Row],[Status]]="Closed",FALSE,IF(tblActions[[#This Row],[Due_Date]]="",FALSE,tblActions[[#This Row],[Due_Date]]&lt;TODAY()))</f>
        <v>0</v>
      </c>
      <c r="J25">
        <f ca="1">IF(tblActions[[#This Row],[Status]]="Closed","",IF(tblActions[[#This Row],[Due_Date]]="","",MAX(0,TODAY()-tblActions[[#This Row],[Due_Date]])))</f>
        <v>0</v>
      </c>
      <c r="K25" s="1"/>
    </row>
    <row r="26" spans="1:12" x14ac:dyDescent="0.2">
      <c r="A26" t="str" cm="1">
        <f t="array" ref="A26">SUBSTITUTE(INDEX(tblRisks[Risk_ID],ROW()-1),"RSK","ACT")</f>
        <v>ACT-2026-0025</v>
      </c>
      <c r="B26" t="s">
        <v>159</v>
      </c>
      <c r="C26" t="s">
        <v>160</v>
      </c>
      <c r="D26" t="s">
        <v>72</v>
      </c>
      <c r="E26" s="1">
        <f>IFERROR(VLOOKUP(tblActions[[#This Row],[Risk_ID]], tblRisks[], MATCH("Next_review_date", tblRisks[#Headers], 0), FALSE), "")</f>
        <v>46072</v>
      </c>
      <c r="F26" t="s">
        <v>14</v>
      </c>
      <c r="G26" t="s">
        <v>25</v>
      </c>
      <c r="H26" s="8">
        <v>0</v>
      </c>
      <c r="I26" t="b">
        <f ca="1">IF(tblActions[[#This Row],[Status]]="Closed",FALSE,IF(tblActions[[#This Row],[Due_Date]]="",FALSE,tblActions[[#This Row],[Due_Date]]&lt;TODAY()))</f>
        <v>0</v>
      </c>
      <c r="J26">
        <f ca="1">IF(tblActions[[#This Row],[Status]]="Closed","",IF(tblActions[[#This Row],[Due_Date]]="","",MAX(0,TODAY()-tblActions[[#This Row],[Due_Date]])))</f>
        <v>0</v>
      </c>
      <c r="K26" s="1"/>
    </row>
    <row r="27" spans="1:12" x14ac:dyDescent="0.2">
      <c r="A27" t="str" cm="1">
        <f t="array" ref="A27">SUBSTITUTE(INDEX(tblRisks[Risk_ID],ROW()-1),"RSK","ACT")</f>
        <v>ACT-2026-0026</v>
      </c>
      <c r="B27" t="s">
        <v>109</v>
      </c>
      <c r="C27" t="s">
        <v>110</v>
      </c>
      <c r="D27" t="s">
        <v>87</v>
      </c>
      <c r="E27" s="1">
        <f>IFERROR(VLOOKUP(tblActions[[#This Row],[Risk_ID]], tblRisks[], MATCH("Next_review_date", tblRisks[#Headers], 0), FALSE), "")</f>
        <v>46072</v>
      </c>
      <c r="F27" t="s">
        <v>21</v>
      </c>
      <c r="G27" t="s">
        <v>25</v>
      </c>
      <c r="H27" s="8">
        <v>0.25</v>
      </c>
      <c r="I27" t="b">
        <f ca="1">IF(tblActions[[#This Row],[Status]]="Closed",FALSE,IF(tblActions[[#This Row],[Due_Date]]="",FALSE,tblActions[[#This Row],[Due_Date]]&lt;TODAY()))</f>
        <v>0</v>
      </c>
      <c r="J27">
        <f ca="1">IF(tblActions[[#This Row],[Status]]="Closed","",IF(tblActions[[#This Row],[Due_Date]]="","",MAX(0,TODAY()-tblActions[[#This Row],[Due_Date]])))</f>
        <v>0</v>
      </c>
      <c r="K27" s="1">
        <v>46066</v>
      </c>
    </row>
    <row r="28" spans="1:12" x14ac:dyDescent="0.2">
      <c r="A28" t="str" cm="1">
        <f t="array" ref="A28">SUBSTITUTE(INDEX(tblRisks[Risk_ID],ROW()-1),"RSK","ACT")</f>
        <v>ACT-2026-0027</v>
      </c>
      <c r="B28" t="s">
        <v>91</v>
      </c>
      <c r="C28" t="s">
        <v>92</v>
      </c>
      <c r="D28" t="s">
        <v>93</v>
      </c>
      <c r="E28" s="1">
        <f>IFERROR(VLOOKUP(tblActions[[#This Row],[Risk_ID]], tblRisks[], MATCH("Next_review_date", tblRisks[#Headers], 0), FALSE), "")</f>
        <v>46069</v>
      </c>
      <c r="F28" t="s">
        <v>21</v>
      </c>
      <c r="G28" t="s">
        <v>30</v>
      </c>
      <c r="H28" s="8">
        <v>0.25</v>
      </c>
      <c r="I28" t="b">
        <f ca="1">IF(tblActions[[#This Row],[Status]]="Closed",FALSE,IF(tblActions[[#This Row],[Due_Date]]="",FALSE,tblActions[[#This Row],[Due_Date]]&lt;TODAY()))</f>
        <v>0</v>
      </c>
      <c r="J28">
        <f ca="1">IF(tblActions[[#This Row],[Status]]="Closed","",IF(tblActions[[#This Row],[Due_Date]]="","",MAX(0,TODAY()-tblActions[[#This Row],[Due_Date]])))</f>
        <v>0</v>
      </c>
      <c r="K28" s="1">
        <v>46066</v>
      </c>
    </row>
    <row r="29" spans="1:12" x14ac:dyDescent="0.2">
      <c r="A29" t="s">
        <v>204</v>
      </c>
      <c r="B29" t="s">
        <v>178</v>
      </c>
      <c r="C29" t="s">
        <v>205</v>
      </c>
      <c r="D29" t="s">
        <v>93</v>
      </c>
      <c r="E29" s="1">
        <v>46037</v>
      </c>
      <c r="F29" t="s">
        <v>28</v>
      </c>
      <c r="G29" t="s">
        <v>25</v>
      </c>
      <c r="H29" s="8">
        <v>0</v>
      </c>
      <c r="I29" t="b">
        <v>1</v>
      </c>
      <c r="J29">
        <v>32</v>
      </c>
      <c r="K29" s="1">
        <v>46037</v>
      </c>
      <c r="L29" t="s">
        <v>215</v>
      </c>
    </row>
    <row r="30" spans="1:12" x14ac:dyDescent="0.2">
      <c r="A30" t="s">
        <v>206</v>
      </c>
      <c r="B30" t="s">
        <v>179</v>
      </c>
      <c r="C30" t="s">
        <v>216</v>
      </c>
      <c r="D30" t="s">
        <v>68</v>
      </c>
      <c r="E30" s="1">
        <v>46054</v>
      </c>
      <c r="F30" t="s">
        <v>28</v>
      </c>
      <c r="G30" t="s">
        <v>18</v>
      </c>
      <c r="H30" s="8">
        <v>0.25</v>
      </c>
      <c r="I30" t="b">
        <v>1</v>
      </c>
      <c r="J30">
        <v>15</v>
      </c>
      <c r="K30" s="1">
        <v>46054</v>
      </c>
      <c r="L30" t="s">
        <v>217</v>
      </c>
    </row>
    <row r="31" spans="1:12" x14ac:dyDescent="0.2">
      <c r="A31" t="s">
        <v>207</v>
      </c>
      <c r="B31" t="s">
        <v>180</v>
      </c>
      <c r="C31" t="s">
        <v>218</v>
      </c>
      <c r="D31" t="s">
        <v>148</v>
      </c>
      <c r="E31" s="1">
        <v>46042</v>
      </c>
      <c r="F31" t="s">
        <v>28</v>
      </c>
      <c r="G31" t="s">
        <v>25</v>
      </c>
      <c r="H31" s="8">
        <v>0.1</v>
      </c>
      <c r="I31" t="b">
        <v>1</v>
      </c>
      <c r="J31">
        <v>27</v>
      </c>
      <c r="K31" s="1">
        <v>46042</v>
      </c>
    </row>
    <row r="32" spans="1:12" x14ac:dyDescent="0.2">
      <c r="A32" s="34" t="s">
        <v>208</v>
      </c>
      <c r="B32" t="s">
        <v>100</v>
      </c>
      <c r="C32" t="s">
        <v>219</v>
      </c>
      <c r="D32" s="34" t="s">
        <v>93</v>
      </c>
      <c r="E32" s="1">
        <v>46058</v>
      </c>
      <c r="F32" t="s">
        <v>21</v>
      </c>
      <c r="G32" t="s">
        <v>25</v>
      </c>
      <c r="H32" s="8">
        <v>0.4</v>
      </c>
      <c r="I32" s="34" t="b">
        <v>1</v>
      </c>
      <c r="J32" s="34">
        <v>10</v>
      </c>
      <c r="K32" s="1">
        <v>46058</v>
      </c>
      <c r="L32" t="s">
        <v>220</v>
      </c>
    </row>
    <row r="33" spans="1:12" x14ac:dyDescent="0.2">
      <c r="A33" s="34" t="s">
        <v>209</v>
      </c>
      <c r="B33" t="s">
        <v>163</v>
      </c>
      <c r="C33" t="s">
        <v>221</v>
      </c>
      <c r="D33" s="34" t="s">
        <v>57</v>
      </c>
      <c r="E33" s="1">
        <v>46063</v>
      </c>
      <c r="F33" t="s">
        <v>28</v>
      </c>
      <c r="G33" t="s">
        <v>18</v>
      </c>
      <c r="H33" s="8">
        <v>0.5</v>
      </c>
      <c r="I33" s="34" t="b">
        <v>1</v>
      </c>
      <c r="J33" s="34">
        <v>5</v>
      </c>
      <c r="K33" s="1">
        <v>46063</v>
      </c>
      <c r="L33" t="s">
        <v>222</v>
      </c>
    </row>
    <row r="34" spans="1:12" x14ac:dyDescent="0.2">
      <c r="A34" s="34" t="s">
        <v>210</v>
      </c>
      <c r="B34" t="s">
        <v>167</v>
      </c>
      <c r="C34" t="s">
        <v>211</v>
      </c>
      <c r="D34" s="34" t="s">
        <v>106</v>
      </c>
      <c r="E34" s="1">
        <v>46059</v>
      </c>
      <c r="F34" t="s">
        <v>28</v>
      </c>
      <c r="G34" t="s">
        <v>25</v>
      </c>
      <c r="H34" s="8">
        <v>0.2</v>
      </c>
      <c r="I34" s="34" t="b">
        <v>1</v>
      </c>
      <c r="J34" s="34">
        <v>9</v>
      </c>
      <c r="K34" s="1">
        <v>46059</v>
      </c>
      <c r="L34" t="s">
        <v>223</v>
      </c>
    </row>
    <row r="35" spans="1:12" x14ac:dyDescent="0.2">
      <c r="A35" s="34" t="s">
        <v>212</v>
      </c>
      <c r="B35" t="s">
        <v>151</v>
      </c>
      <c r="C35" t="s">
        <v>224</v>
      </c>
      <c r="D35" s="34" t="s">
        <v>72</v>
      </c>
      <c r="E35" s="1">
        <v>46065</v>
      </c>
      <c r="F35" t="s">
        <v>28</v>
      </c>
      <c r="G35" t="s">
        <v>11</v>
      </c>
      <c r="H35" s="8">
        <v>0</v>
      </c>
      <c r="I35" s="34" t="b">
        <v>1</v>
      </c>
      <c r="J35" s="34">
        <v>3</v>
      </c>
      <c r="K35" s="1">
        <v>46065</v>
      </c>
      <c r="L35" t="s">
        <v>225</v>
      </c>
    </row>
    <row r="36" spans="1:12" x14ac:dyDescent="0.2">
      <c r="A36" s="34" t="s">
        <v>213</v>
      </c>
      <c r="B36" t="s">
        <v>91</v>
      </c>
      <c r="C36" t="s">
        <v>214</v>
      </c>
      <c r="D36" s="34" t="s">
        <v>93</v>
      </c>
      <c r="E36" s="1">
        <v>46066</v>
      </c>
      <c r="F36" t="s">
        <v>28</v>
      </c>
      <c r="G36" t="s">
        <v>18</v>
      </c>
      <c r="H36" s="8">
        <v>0.15</v>
      </c>
      <c r="I36" s="34" t="b">
        <v>1</v>
      </c>
      <c r="J36" s="34">
        <v>2</v>
      </c>
      <c r="K36" s="1">
        <v>46066</v>
      </c>
      <c r="L36" t="s">
        <v>226</v>
      </c>
    </row>
    <row r="37" spans="1:12" x14ac:dyDescent="0.2">
      <c r="A37" t="str" cm="1">
        <f t="array" ref="A37">SUBSTITUTE(INDEX(tblRisks[Risk_ID],ROW()-1),"RSK","ACT")</f>
        <v/>
      </c>
    </row>
    <row r="38" spans="1:12" x14ac:dyDescent="0.2">
      <c r="A38" t="str" cm="1">
        <f t="array" ref="A38">SUBSTITUTE(INDEX(tblRisks[Risk_ID],ROW()-1),"RSK","ACT")</f>
        <v/>
      </c>
    </row>
    <row r="39" spans="1:12" x14ac:dyDescent="0.2">
      <c r="A39" t="str" cm="1">
        <f t="array" ref="A39">SUBSTITUTE(INDEX(tblRisks[Risk_ID],ROW()-1),"RSK","ACT")</f>
        <v/>
      </c>
    </row>
    <row r="40" spans="1:12" x14ac:dyDescent="0.2">
      <c r="A40" t="str" cm="1">
        <f t="array" ref="A40">SUBSTITUTE(INDEX(tblRisks[Risk_ID],ROW()-1),"RSK","ACT")</f>
        <v/>
      </c>
    </row>
    <row r="41" spans="1:12" x14ac:dyDescent="0.2">
      <c r="A41" t="str" cm="1">
        <f t="array" ref="A41">SUBSTITUTE(INDEX(tblRisks[Risk_ID],ROW()-1),"RSK","ACT")</f>
        <v/>
      </c>
    </row>
    <row r="42" spans="1:12" x14ac:dyDescent="0.2">
      <c r="A42" t="str" cm="1">
        <f t="array" ref="A42">SUBSTITUTE(INDEX(tblRisks[Risk_ID],ROW()-1),"RSK","ACT")</f>
        <v/>
      </c>
    </row>
    <row r="43" spans="1:12" x14ac:dyDescent="0.2">
      <c r="A43" t="str" cm="1">
        <f t="array" ref="A43">SUBSTITUTE(INDEX(tblRisks[Risk_ID],ROW()-1),"RSK","ACT")</f>
        <v/>
      </c>
    </row>
    <row r="44" spans="1:12" x14ac:dyDescent="0.2">
      <c r="A44" t="str" cm="1">
        <f t="array" ref="A44">SUBSTITUTE(INDEX(tblRisks[Risk_ID],ROW()-1),"RSK","ACT")</f>
        <v/>
      </c>
    </row>
    <row r="45" spans="1:12" x14ac:dyDescent="0.2">
      <c r="A45" t="str" cm="1">
        <f t="array" ref="A45">SUBSTITUTE(INDEX(tblRisks[Risk_ID],ROW()-1),"RSK","ACT")</f>
        <v/>
      </c>
    </row>
    <row r="46" spans="1:12" x14ac:dyDescent="0.2">
      <c r="A46" t="str" cm="1">
        <f t="array" ref="A46">SUBSTITUTE(INDEX(tblRisks[Risk_ID],ROW()-1),"RSK","ACT")</f>
        <v/>
      </c>
    </row>
    <row r="47" spans="1:12" x14ac:dyDescent="0.2">
      <c r="A47" t="str" cm="1">
        <f t="array" ref="A47">SUBSTITUTE(INDEX(tblRisks[Risk_ID],ROW()-1),"RSK","ACT")</f>
        <v/>
      </c>
    </row>
    <row r="48" spans="1:12" x14ac:dyDescent="0.2">
      <c r="A48" t="str" cm="1">
        <f t="array" ref="A48">SUBSTITUTE(INDEX(tblRisks[Risk_ID],ROW()-1),"RSK","ACT")</f>
        <v/>
      </c>
    </row>
    <row r="49" spans="1:1" x14ac:dyDescent="0.2">
      <c r="A49" t="str" cm="1">
        <f t="array" ref="A49">SUBSTITUTE(INDEX(tblRisks[Risk_ID],ROW()-1),"RSK","ACT")</f>
        <v/>
      </c>
    </row>
    <row r="50" spans="1:1" x14ac:dyDescent="0.2">
      <c r="A50" t="str" cm="1">
        <f t="array" ref="A50">SUBSTITUTE(INDEX(tblRisks[Risk_ID],ROW()-1),"RSK","ACT")</f>
        <v/>
      </c>
    </row>
    <row r="51" spans="1:1" x14ac:dyDescent="0.2">
      <c r="A51" t="str" cm="1">
        <f t="array" ref="A51">SUBSTITUTE(INDEX(tblRisks[Risk_ID],ROW()-1),"RSK","ACT")</f>
        <v/>
      </c>
    </row>
    <row r="52" spans="1:1" x14ac:dyDescent="0.2">
      <c r="A52" t="str" cm="1">
        <f t="array" ref="A52">SUBSTITUTE(INDEX(tblRisks[Risk_ID],ROW()-1),"RSK","ACT")</f>
        <v/>
      </c>
    </row>
    <row r="53" spans="1:1" x14ac:dyDescent="0.2">
      <c r="A53" t="str" cm="1">
        <f t="array" ref="A53">SUBSTITUTE(INDEX(tblRisks[Risk_ID],ROW()-1),"RSK","ACT")</f>
        <v/>
      </c>
    </row>
    <row r="54" spans="1:1" x14ac:dyDescent="0.2">
      <c r="A54" t="str" cm="1">
        <f t="array" ref="A54">SUBSTITUTE(INDEX(tblRisks[Risk_ID],ROW()-1),"RSK","ACT")</f>
        <v/>
      </c>
    </row>
    <row r="55" spans="1:1" x14ac:dyDescent="0.2">
      <c r="A55" t="str" cm="1">
        <f t="array" ref="A55">SUBSTITUTE(INDEX(tblRisks[Risk_ID],ROW()-1),"RSK","ACT")</f>
        <v/>
      </c>
    </row>
    <row r="56" spans="1:1" x14ac:dyDescent="0.2">
      <c r="A56" t="str" cm="1">
        <f t="array" ref="A56">SUBSTITUTE(INDEX(tblRisks[Risk_ID],ROW()-1),"RSK","ACT")</f>
        <v/>
      </c>
    </row>
    <row r="57" spans="1:1" x14ac:dyDescent="0.2">
      <c r="A57" t="str" cm="1">
        <f t="array" ref="A57">SUBSTITUTE(INDEX(tblRisks[Risk_ID],ROW()-1),"RSK","ACT")</f>
        <v/>
      </c>
    </row>
    <row r="58" spans="1:1" x14ac:dyDescent="0.2">
      <c r="A58" t="str" cm="1">
        <f t="array" ref="A58">SUBSTITUTE(INDEX(tblRisks[Risk_ID],ROW()-1),"RSK","ACT")</f>
        <v/>
      </c>
    </row>
    <row r="59" spans="1:1" x14ac:dyDescent="0.2">
      <c r="A59" t="str" cm="1">
        <f t="array" ref="A59">SUBSTITUTE(INDEX(tblRisks[Risk_ID],ROW()-1),"RSK","ACT")</f>
        <v/>
      </c>
    </row>
  </sheetData>
  <dataValidations count="1">
    <dataValidation type="list" allowBlank="1" showInputMessage="1" showErrorMessage="1" sqref="F2:F28" xr:uid="{261C08A9-945A-498D-A5B5-ED889A60865A}">
      <formula1>RiskStatusList</formula1>
    </dataValidation>
  </dataValidations>
  <pageMargins left="0.7" right="0.7" top="0.75" bottom="0.75" header="0.3" footer="0.3"/>
  <pageSetup orientation="portrait" horizontalDpi="0" verticalDpi="0"/>
  <ignoredErrors>
    <ignoredError sqref="D2:D9" calculatedColumn="1"/>
  </ignoredErrors>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DD131D-75BB-4E1F-A591-99B3A5C19336}">
          <x14:formula1>
            <xm:f>Lookups!$E$2:$E$5</xm:f>
          </x14:formula1>
          <xm:sqref>F1 F29:F1048576</xm:sqref>
        </x14:dataValidation>
        <x14:dataValidation type="list" allowBlank="1" showInputMessage="1" showErrorMessage="1" xr:uid="{BD8FA1F1-53F4-4791-AD51-51C0D808D71D}">
          <x14:formula1>
            <xm:f>Lookups!$F$2:$F$6</xm:f>
          </x14:formula1>
          <xm:sqref>G1:G1048576</xm:sqref>
        </x14:dataValidation>
        <x14:dataValidation type="list" allowBlank="1" showInputMessage="1" showErrorMessage="1" xr:uid="{BD5C0391-C9DE-47FD-BC1D-5C9864D1179B}">
          <x14:formula1>
            <xm:f>Risk_Register!$A:$A</xm:f>
          </x14:formula1>
          <xm:sqref>B1:B1048576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BC67-595C-460E-959C-2483EEEF2C70}">
  <dimension ref="A1:W43"/>
  <sheetViews>
    <sheetView showGridLines="0" zoomScale="51" zoomScaleNormal="125" workbookViewId="0">
      <selection activeCell="U18" sqref="U18"/>
    </sheetView>
  </sheetViews>
  <sheetFormatPr baseColWidth="10" defaultColWidth="8.83203125" defaultRowHeight="15" x14ac:dyDescent="0.2"/>
  <cols>
    <col min="1" max="5" width="17.83203125" customWidth="1"/>
    <col min="6" max="6" width="79.83203125" customWidth="1"/>
    <col min="7" max="8" width="18.83203125" customWidth="1"/>
    <col min="9" max="9" width="7.33203125" customWidth="1"/>
    <col min="10" max="10" width="18.6640625" customWidth="1"/>
    <col min="11" max="11" width="18.83203125" customWidth="1"/>
    <col min="12" max="12" width="6" customWidth="1"/>
    <col min="13" max="14" width="18.83203125" customWidth="1"/>
    <col min="15" max="36" width="14.6640625" bestFit="1" customWidth="1"/>
    <col min="37" max="37" width="7.5" bestFit="1" customWidth="1"/>
    <col min="38" max="38" width="11.6640625" bestFit="1" customWidth="1"/>
    <col min="39" max="39" width="43.83203125" bestFit="1" customWidth="1"/>
    <col min="40" max="40" width="19.83203125" bestFit="1" customWidth="1"/>
    <col min="41" max="41" width="49.5" bestFit="1" customWidth="1"/>
    <col min="42" max="42" width="7.33203125" bestFit="1" customWidth="1"/>
    <col min="43" max="43" width="16.33203125" bestFit="1" customWidth="1"/>
    <col min="44" max="44" width="52.6640625" bestFit="1" customWidth="1"/>
    <col min="45" max="45" width="19.83203125" bestFit="1" customWidth="1"/>
    <col min="46" max="46" width="50.5" bestFit="1" customWidth="1"/>
    <col min="47" max="47" width="7.33203125" bestFit="1" customWidth="1"/>
    <col min="48" max="48" width="13.5" bestFit="1" customWidth="1"/>
    <col min="49" max="49" width="53.6640625" bestFit="1" customWidth="1"/>
    <col min="50" max="50" width="19.83203125" bestFit="1" customWidth="1"/>
    <col min="51" max="51" width="44.5" bestFit="1" customWidth="1"/>
    <col min="52" max="52" width="7.33203125" bestFit="1" customWidth="1"/>
    <col min="53" max="53" width="11.6640625" bestFit="1" customWidth="1"/>
    <col min="54" max="54" width="47.6640625" bestFit="1" customWidth="1"/>
    <col min="55" max="55" width="19.83203125" bestFit="1" customWidth="1"/>
    <col min="56" max="56" width="61.5" bestFit="1" customWidth="1"/>
    <col min="57" max="57" width="7.33203125" bestFit="1" customWidth="1"/>
    <col min="58" max="58" width="13.5" bestFit="1" customWidth="1"/>
    <col min="59" max="59" width="64.83203125" bestFit="1" customWidth="1"/>
    <col min="60" max="60" width="19.83203125" bestFit="1" customWidth="1"/>
    <col min="61" max="61" width="53.83203125" bestFit="1" customWidth="1"/>
    <col min="62" max="62" width="7.33203125" bestFit="1" customWidth="1"/>
    <col min="63" max="63" width="16.33203125" bestFit="1" customWidth="1"/>
    <col min="64" max="64" width="57.33203125" bestFit="1" customWidth="1"/>
    <col min="65" max="65" width="19.83203125" bestFit="1" customWidth="1"/>
    <col min="66" max="66" width="36.1640625" bestFit="1" customWidth="1"/>
    <col min="67" max="67" width="7.33203125" bestFit="1" customWidth="1"/>
    <col min="68" max="68" width="11.6640625" bestFit="1" customWidth="1"/>
    <col min="69" max="69" width="39.5" bestFit="1" customWidth="1"/>
    <col min="70" max="70" width="19.83203125" bestFit="1" customWidth="1"/>
    <col min="71" max="71" width="57.83203125" bestFit="1" customWidth="1"/>
    <col min="72" max="72" width="7.33203125" bestFit="1" customWidth="1"/>
    <col min="73" max="73" width="16.33203125" bestFit="1" customWidth="1"/>
    <col min="74" max="74" width="61.1640625" bestFit="1" customWidth="1"/>
    <col min="75" max="75" width="19.83203125" bestFit="1" customWidth="1"/>
    <col min="76" max="76" width="41.5" bestFit="1" customWidth="1"/>
    <col min="77" max="77" width="8.33203125" bestFit="1" customWidth="1"/>
    <col min="78" max="78" width="13" bestFit="1" customWidth="1"/>
    <col min="79" max="79" width="44.83203125" bestFit="1" customWidth="1"/>
    <col min="80" max="80" width="19.83203125" bestFit="1" customWidth="1"/>
    <col min="81" max="81" width="44" bestFit="1" customWidth="1"/>
    <col min="82" max="82" width="7.33203125" bestFit="1" customWidth="1"/>
    <col min="83" max="83" width="16.33203125" bestFit="1" customWidth="1"/>
    <col min="84" max="84" width="47.33203125" bestFit="1" customWidth="1"/>
    <col min="85" max="85" width="19.83203125" bestFit="1" customWidth="1"/>
    <col min="86" max="86" width="57.5" bestFit="1" customWidth="1"/>
    <col min="87" max="87" width="7.33203125" bestFit="1" customWidth="1"/>
    <col min="88" max="88" width="7.83203125" bestFit="1" customWidth="1"/>
    <col min="89" max="89" width="60.83203125" bestFit="1" customWidth="1"/>
    <col min="90" max="90" width="19.83203125" bestFit="1" customWidth="1"/>
    <col min="91" max="91" width="53" bestFit="1" customWidth="1"/>
    <col min="92" max="92" width="7.33203125" bestFit="1" customWidth="1"/>
    <col min="93" max="93" width="13" bestFit="1" customWidth="1"/>
    <col min="94" max="94" width="56.33203125" bestFit="1" customWidth="1"/>
    <col min="95" max="95" width="19.83203125" bestFit="1" customWidth="1"/>
    <col min="96" max="96" width="39" bestFit="1" customWidth="1"/>
    <col min="97" max="97" width="7.33203125" bestFit="1" customWidth="1"/>
    <col min="98" max="98" width="17" bestFit="1" customWidth="1"/>
    <col min="99" max="99" width="42.33203125" bestFit="1" customWidth="1"/>
    <col min="100" max="100" width="19.83203125" bestFit="1" customWidth="1"/>
    <col min="101" max="101" width="46.1640625" bestFit="1" customWidth="1"/>
    <col min="102" max="102" width="7.33203125" bestFit="1" customWidth="1"/>
    <col min="103" max="103" width="16.33203125" bestFit="1" customWidth="1"/>
    <col min="104" max="104" width="49.5" bestFit="1" customWidth="1"/>
    <col min="105" max="105" width="19.83203125" bestFit="1" customWidth="1"/>
    <col min="106" max="106" width="22" bestFit="1" customWidth="1"/>
    <col min="107" max="107" width="7.33203125" bestFit="1" customWidth="1"/>
    <col min="108" max="108" width="11.6640625" bestFit="1" customWidth="1"/>
    <col min="109" max="109" width="25.1640625" bestFit="1" customWidth="1"/>
    <col min="110" max="110" width="19.83203125" bestFit="1" customWidth="1"/>
    <col min="111" max="111" width="52.33203125" bestFit="1" customWidth="1"/>
    <col min="112" max="112" width="7.33203125" bestFit="1" customWidth="1"/>
    <col min="113" max="113" width="16.33203125" bestFit="1" customWidth="1"/>
    <col min="114" max="114" width="55.6640625" bestFit="1" customWidth="1"/>
    <col min="115" max="115" width="19.83203125" bestFit="1" customWidth="1"/>
    <col min="116" max="116" width="50.5" bestFit="1" customWidth="1"/>
    <col min="117" max="117" width="7.33203125" bestFit="1" customWidth="1"/>
    <col min="118" max="118" width="11.6640625" bestFit="1" customWidth="1"/>
    <col min="119" max="119" width="53.6640625" bestFit="1" customWidth="1"/>
    <col min="120" max="120" width="19.83203125" bestFit="1" customWidth="1"/>
    <col min="121" max="121" width="41.5" bestFit="1" customWidth="1"/>
    <col min="122" max="122" width="7.33203125" bestFit="1" customWidth="1"/>
    <col min="123" max="123" width="11.6640625" bestFit="1" customWidth="1"/>
    <col min="124" max="124" width="44.83203125" bestFit="1" customWidth="1"/>
    <col min="125" max="125" width="19.83203125" bestFit="1" customWidth="1"/>
    <col min="126" max="126" width="43" bestFit="1" customWidth="1"/>
    <col min="127" max="127" width="7.33203125" bestFit="1" customWidth="1"/>
    <col min="128" max="128" width="7.83203125" bestFit="1" customWidth="1"/>
    <col min="129" max="129" width="46.1640625" bestFit="1" customWidth="1"/>
    <col min="130" max="130" width="19.83203125" bestFit="1" customWidth="1"/>
    <col min="131" max="131" width="50.83203125" bestFit="1" customWidth="1"/>
    <col min="132" max="132" width="8.33203125" bestFit="1" customWidth="1"/>
    <col min="133" max="133" width="13" bestFit="1" customWidth="1"/>
    <col min="134" max="134" width="54.1640625" bestFit="1" customWidth="1"/>
    <col min="135" max="135" width="19.83203125" bestFit="1" customWidth="1"/>
    <col min="136" max="136" width="9.33203125" bestFit="1" customWidth="1"/>
    <col min="137" max="140" width="12.5" bestFit="1" customWidth="1"/>
    <col min="141" max="141" width="11.6640625" bestFit="1" customWidth="1"/>
  </cols>
  <sheetData>
    <row r="1" spans="1:14" ht="26" x14ac:dyDescent="0.3">
      <c r="C1" s="16"/>
    </row>
    <row r="2" spans="1:14" ht="73" customHeight="1" x14ac:dyDescent="0.85">
      <c r="B2" s="28" t="s">
        <v>196</v>
      </c>
      <c r="C2" s="28"/>
      <c r="D2" s="28"/>
      <c r="E2" s="28"/>
      <c r="F2" s="28"/>
      <c r="G2" s="25" t="s">
        <v>197</v>
      </c>
      <c r="H2" s="24"/>
      <c r="I2" s="24"/>
    </row>
    <row r="3" spans="1:14" ht="15" customHeight="1" x14ac:dyDescent="0.2"/>
    <row r="4" spans="1:14" ht="66" customHeight="1" x14ac:dyDescent="0.45">
      <c r="C4" s="29" t="s">
        <v>198</v>
      </c>
      <c r="D4" s="29"/>
      <c r="I4" s="10"/>
      <c r="J4" s="29" t="s">
        <v>195</v>
      </c>
      <c r="K4" s="29"/>
    </row>
    <row r="5" spans="1:14" ht="33" customHeight="1" x14ac:dyDescent="0.35">
      <c r="A5" s="18"/>
      <c r="B5" s="18"/>
      <c r="C5" s="18"/>
      <c r="D5" s="18"/>
      <c r="E5" s="18"/>
      <c r="G5" s="11"/>
      <c r="H5" s="11"/>
      <c r="I5" s="11"/>
      <c r="J5" s="22"/>
      <c r="K5" s="22"/>
      <c r="L5" s="22"/>
      <c r="M5" s="10"/>
      <c r="N5" s="10"/>
    </row>
    <row r="6" spans="1:14" ht="32" customHeight="1" x14ac:dyDescent="0.35">
      <c r="A6" s="18"/>
      <c r="B6" s="18"/>
      <c r="C6" s="18"/>
      <c r="D6" s="18"/>
      <c r="E6" s="18"/>
      <c r="G6" s="27" t="s">
        <v>181</v>
      </c>
      <c r="H6" s="27"/>
      <c r="J6" s="33" t="s">
        <v>182</v>
      </c>
      <c r="K6" s="33"/>
      <c r="L6" s="22"/>
      <c r="M6" s="27" t="s">
        <v>189</v>
      </c>
      <c r="N6" s="27"/>
    </row>
    <row r="7" spans="1:14" ht="31" customHeight="1" x14ac:dyDescent="0.4">
      <c r="A7" s="18"/>
      <c r="B7" s="18"/>
      <c r="C7" s="18"/>
      <c r="D7" s="18"/>
      <c r="E7" s="18"/>
      <c r="G7" s="31">
        <f>Pivot_Data!$K$2</f>
        <v>27</v>
      </c>
      <c r="H7" s="31"/>
      <c r="J7" s="31">
        <f>Pivot_Data!$K$3</f>
        <v>4</v>
      </c>
      <c r="K7" s="31"/>
      <c r="L7" s="22"/>
      <c r="M7" s="32">
        <f>Pivot_Data!$K$4</f>
        <v>1</v>
      </c>
      <c r="N7" s="32"/>
    </row>
    <row r="8" spans="1:14" ht="20" customHeight="1" x14ac:dyDescent="0.35">
      <c r="A8" s="18"/>
      <c r="B8" s="18"/>
      <c r="C8" s="18"/>
      <c r="D8" s="18"/>
      <c r="E8" s="18"/>
      <c r="H8" s="11"/>
      <c r="I8" s="11"/>
      <c r="K8" s="22"/>
      <c r="L8" s="22"/>
      <c r="M8" s="22"/>
      <c r="N8" s="22"/>
    </row>
    <row r="9" spans="1:14" ht="33" customHeight="1" x14ac:dyDescent="0.35">
      <c r="A9" s="18"/>
      <c r="B9" s="18"/>
      <c r="C9" s="18"/>
      <c r="D9" s="18"/>
      <c r="E9" s="18"/>
      <c r="K9" s="22"/>
      <c r="L9" s="22"/>
      <c r="M9" s="22"/>
      <c r="N9" s="22"/>
    </row>
    <row r="10" spans="1:14" ht="26" x14ac:dyDescent="0.3">
      <c r="A10" s="18"/>
      <c r="B10" s="18"/>
      <c r="C10" s="18"/>
      <c r="D10" s="18"/>
      <c r="E10" s="18"/>
      <c r="G10" s="27" t="s">
        <v>183</v>
      </c>
      <c r="H10" s="27"/>
      <c r="J10" s="27" t="s">
        <v>184</v>
      </c>
      <c r="K10" s="27"/>
      <c r="M10" s="27" t="s">
        <v>188</v>
      </c>
      <c r="N10" s="27"/>
    </row>
    <row r="11" spans="1:14" ht="34" x14ac:dyDescent="0.4">
      <c r="G11" s="31">
        <f>Pivot_Data!$K$5</f>
        <v>19</v>
      </c>
      <c r="H11" s="31"/>
      <c r="J11" s="31">
        <f ca="1">Pivot_Data!$K$6</f>
        <v>1</v>
      </c>
      <c r="K11" s="31"/>
      <c r="M11" s="30">
        <f ca="1">Pivot_Data!$K$7</f>
        <v>8</v>
      </c>
      <c r="N11" s="30"/>
    </row>
    <row r="20" spans="1:23" x14ac:dyDescent="0.2">
      <c r="W20" s="2"/>
    </row>
    <row r="21" spans="1:23" x14ac:dyDescent="0.2">
      <c r="W21" s="2"/>
    </row>
    <row r="22" spans="1:23" x14ac:dyDescent="0.2">
      <c r="W22" s="2"/>
    </row>
    <row r="23" spans="1:23" x14ac:dyDescent="0.2">
      <c r="W23" s="2"/>
    </row>
    <row r="24" spans="1:23" x14ac:dyDescent="0.2">
      <c r="W24" s="2"/>
    </row>
    <row r="25" spans="1:23" x14ac:dyDescent="0.2">
      <c r="W25" s="2"/>
    </row>
    <row r="26" spans="1:23" x14ac:dyDescent="0.2">
      <c r="W26" s="2"/>
    </row>
    <row r="27" spans="1:23" x14ac:dyDescent="0.2">
      <c r="A27" s="2"/>
      <c r="B27" s="2"/>
      <c r="C27" s="2"/>
      <c r="D27" s="2"/>
      <c r="E27" s="2"/>
      <c r="F27" s="2"/>
      <c r="W27" s="2"/>
    </row>
    <row r="28" spans="1:23" x14ac:dyDescent="0.2">
      <c r="W28" s="2"/>
    </row>
    <row r="29" spans="1:23" ht="44" customHeight="1" x14ac:dyDescent="0.2"/>
    <row r="30" spans="1:23" ht="44" customHeight="1" x14ac:dyDescent="0.4">
      <c r="A30" s="21"/>
    </row>
    <row r="32" spans="1:23" ht="46" customHeight="1" x14ac:dyDescent="0.2"/>
    <row r="33" spans="1:18" ht="44" customHeight="1" x14ac:dyDescent="0.2"/>
    <row r="34" spans="1:18" ht="44" customHeight="1" x14ac:dyDescent="0.4">
      <c r="A34" s="21"/>
    </row>
    <row r="35" spans="1:18" ht="44" customHeight="1" x14ac:dyDescent="0.2"/>
    <row r="36" spans="1:18" ht="44" customHeight="1" x14ac:dyDescent="0.35">
      <c r="R36" s="23"/>
    </row>
    <row r="37" spans="1:18" ht="44" customHeight="1" x14ac:dyDescent="0.45">
      <c r="B37" s="26" t="s">
        <v>199</v>
      </c>
      <c r="C37" s="26"/>
      <c r="E37" s="24"/>
    </row>
    <row r="38" spans="1:18" ht="44" customHeight="1" x14ac:dyDescent="0.2"/>
    <row r="42" spans="1:18" ht="15" customHeight="1" x14ac:dyDescent="0.2"/>
    <row r="43" spans="1:18" ht="15" customHeight="1" x14ac:dyDescent="0.2"/>
  </sheetData>
  <mergeCells count="15">
    <mergeCell ref="J10:K10"/>
    <mergeCell ref="B2:F2"/>
    <mergeCell ref="C4:D4"/>
    <mergeCell ref="M10:N10"/>
    <mergeCell ref="M11:N11"/>
    <mergeCell ref="G11:H11"/>
    <mergeCell ref="G10:H10"/>
    <mergeCell ref="G6:H6"/>
    <mergeCell ref="G7:H7"/>
    <mergeCell ref="J11:K11"/>
    <mergeCell ref="J7:K7"/>
    <mergeCell ref="M7:N7"/>
    <mergeCell ref="M6:N6"/>
    <mergeCell ref="J6:K6"/>
    <mergeCell ref="J4:K4"/>
  </mergeCells>
  <dataValidations count="3">
    <dataValidation allowBlank="1" showInputMessage="1" showErrorMessage="1" sqref="A59:A73" xr:uid="{472E58AE-E415-4F1A-958B-2C864F4B45EB}"/>
    <dataValidation type="list" allowBlank="1" showInputMessage="1" showErrorMessage="1" sqref="F59:F73" xr:uid="{A935A036-F4B1-6F45-AB0A-57F3D3AC44EC}">
      <formula1>ControlStrengthList</formula1>
    </dataValidation>
    <dataValidation type="list" allowBlank="1" showInputMessage="1" showErrorMessage="1" sqref="E59:E73" xr:uid="{97AF03F4-ACB7-7F43-8FC5-8FF89DA6DE44}">
      <formula1>RiskStatusList</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E83F319-977F-4AF0-BCC8-E8FBEFE92EFA}">
          <x14:formula1>
            <xm:f>Lookups!$A$2:$A$7</xm:f>
          </x14:formula1>
          <xm:sqref>C59:C73</xm:sqref>
        </x14:dataValidation>
      </x14:dataValidation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32A8-9A5C-449E-B568-C9333853F816}">
  <dimension ref="A1:K17"/>
  <sheetViews>
    <sheetView zoomScale="116" zoomScaleNormal="116" workbookViewId="0">
      <selection activeCell="E2" activeCellId="1" sqref="J40 E2:E31"/>
    </sheetView>
  </sheetViews>
  <sheetFormatPr baseColWidth="10" defaultColWidth="8.83203125" defaultRowHeight="15" x14ac:dyDescent="0.2"/>
  <cols>
    <col min="1" max="1" width="18.6640625" bestFit="1" customWidth="1"/>
    <col min="2" max="2" width="10.5" bestFit="1" customWidth="1"/>
    <col min="3" max="3" width="6.1640625" bestFit="1" customWidth="1"/>
    <col min="4" max="4" width="3.1640625" bestFit="1" customWidth="1"/>
    <col min="5" max="5" width="17.1640625" bestFit="1" customWidth="1"/>
    <col min="6" max="6" width="6.1640625" bestFit="1" customWidth="1"/>
    <col min="7" max="7" width="3.33203125" customWidth="1"/>
    <col min="8" max="8" width="12.1640625" bestFit="1" customWidth="1"/>
    <col min="9" max="9" width="4.33203125" customWidth="1"/>
    <col min="10" max="10" width="17.5" bestFit="1" customWidth="1"/>
  </cols>
  <sheetData>
    <row r="1" spans="1:11" ht="26" x14ac:dyDescent="0.3">
      <c r="A1" s="20" t="s">
        <v>192</v>
      </c>
      <c r="B1" s="19"/>
      <c r="H1" s="20" t="s">
        <v>190</v>
      </c>
    </row>
    <row r="2" spans="1:11" ht="19" x14ac:dyDescent="0.25">
      <c r="B2" s="12" t="s">
        <v>0</v>
      </c>
      <c r="C2" t="s">
        <v>193</v>
      </c>
      <c r="E2" s="12" t="s">
        <v>194</v>
      </c>
      <c r="F2" t="s">
        <v>193</v>
      </c>
      <c r="I2" s="14">
        <v>1</v>
      </c>
      <c r="J2" s="14" t="s">
        <v>181</v>
      </c>
      <c r="K2" s="17">
        <f>COUNTA(tblRisks[Risk_ID])</f>
        <v>27</v>
      </c>
    </row>
    <row r="3" spans="1:11" ht="19" x14ac:dyDescent="0.25">
      <c r="B3" s="13" t="s">
        <v>27</v>
      </c>
      <c r="C3">
        <v>4</v>
      </c>
      <c r="E3" s="13" t="s">
        <v>16</v>
      </c>
      <c r="F3">
        <v>1</v>
      </c>
      <c r="I3" s="14">
        <v>2</v>
      </c>
      <c r="J3" s="14" t="s">
        <v>182</v>
      </c>
      <c r="K3" s="17">
        <f>COUNTIF(tblRisks[Status],"Active")</f>
        <v>4</v>
      </c>
    </row>
    <row r="4" spans="1:11" ht="19" x14ac:dyDescent="0.25">
      <c r="B4" s="13" t="s">
        <v>13</v>
      </c>
      <c r="C4">
        <v>4</v>
      </c>
      <c r="E4" s="13" t="s">
        <v>23</v>
      </c>
      <c r="F4">
        <v>2</v>
      </c>
      <c r="I4" s="14">
        <v>3</v>
      </c>
      <c r="J4" s="14" t="s">
        <v>191</v>
      </c>
      <c r="K4" s="17">
        <f>COUNTIF(tblRisks[Appetite_alignment],"Outside")</f>
        <v>1</v>
      </c>
    </row>
    <row r="5" spans="1:11" ht="19" x14ac:dyDescent="0.25">
      <c r="B5" s="13" t="s">
        <v>7</v>
      </c>
      <c r="C5">
        <v>4</v>
      </c>
      <c r="E5" s="13" t="s">
        <v>34</v>
      </c>
      <c r="F5">
        <v>5</v>
      </c>
      <c r="G5" s="5"/>
      <c r="I5" s="14">
        <v>4</v>
      </c>
      <c r="J5" s="14" t="s">
        <v>183</v>
      </c>
      <c r="K5" s="17">
        <f>COUNTIF(tblActions[Status],"Active")+COUNTIF(tblActions[Status],"In Review")+COUNTIF(tblActions[Status],"New")</f>
        <v>19</v>
      </c>
    </row>
    <row r="6" spans="1:11" ht="19" x14ac:dyDescent="0.25">
      <c r="B6" s="13" t="s">
        <v>32</v>
      </c>
      <c r="C6">
        <v>2</v>
      </c>
      <c r="E6" s="13" t="s">
        <v>9</v>
      </c>
      <c r="F6">
        <v>2</v>
      </c>
      <c r="G6" s="5"/>
      <c r="I6" s="14">
        <v>5</v>
      </c>
      <c r="J6" s="14" t="s">
        <v>184</v>
      </c>
      <c r="K6" s="17">
        <f ca="1">COUNTIFS(tblRisks[Status],"&lt;&gt;"&amp;"Closed",tblRisks[Next_review_date],"&lt;"&amp;TODAY())</f>
        <v>1</v>
      </c>
    </row>
    <row r="7" spans="1:11" ht="19" x14ac:dyDescent="0.25">
      <c r="B7" s="13" t="s">
        <v>35</v>
      </c>
      <c r="C7">
        <v>7</v>
      </c>
      <c r="E7" s="13" t="s">
        <v>36</v>
      </c>
      <c r="F7">
        <v>4</v>
      </c>
      <c r="I7" s="14">
        <v>6</v>
      </c>
      <c r="J7" s="14" t="s">
        <v>188</v>
      </c>
      <c r="K7" s="17">
        <f ca="1">COUNTIFS(tblActions[Status],"&lt;&gt;"&amp;"Closed",tblActions[Due_Date],"&lt;"&amp;TODAY())</f>
        <v>8</v>
      </c>
    </row>
    <row r="8" spans="1:11" x14ac:dyDescent="0.2">
      <c r="B8" s="13" t="s">
        <v>20</v>
      </c>
      <c r="C8">
        <v>6</v>
      </c>
      <c r="E8" s="13" t="s">
        <v>185</v>
      </c>
      <c r="F8">
        <v>14</v>
      </c>
    </row>
    <row r="9" spans="1:11" x14ac:dyDescent="0.2">
      <c r="B9" s="13" t="s">
        <v>185</v>
      </c>
      <c r="C9">
        <v>27</v>
      </c>
    </row>
    <row r="11" spans="1:11" x14ac:dyDescent="0.2">
      <c r="A11" s="9"/>
      <c r="B11" s="13"/>
    </row>
    <row r="12" spans="1:11" x14ac:dyDescent="0.2">
      <c r="D12" s="9"/>
    </row>
    <row r="13" spans="1:11" x14ac:dyDescent="0.2">
      <c r="D13" s="9"/>
    </row>
    <row r="14" spans="1:11" x14ac:dyDescent="0.2">
      <c r="D14" s="9"/>
    </row>
    <row r="15" spans="1:11" x14ac:dyDescent="0.2">
      <c r="D15" s="9"/>
    </row>
    <row r="16" spans="1:11" x14ac:dyDescent="0.2">
      <c r="D16" s="9"/>
    </row>
    <row r="17" spans="4:4" x14ac:dyDescent="0.2">
      <c r="D17" s="9"/>
    </row>
  </sheetData>
  <dataValidations count="3">
    <dataValidation type="whole" allowBlank="1" showInputMessage="1" showErrorMessage="1" sqref="H5:H6" xr:uid="{ECCD837F-FB13-4244-AA32-C79B39D08C29}">
      <formula1>1</formula1>
      <formula2>5</formula2>
    </dataValidation>
    <dataValidation allowBlank="1" showInputMessage="1" showErrorMessage="1" sqref="E9:E13 G27:G44" xr:uid="{48B57372-C29B-45B1-B981-B1E8F1DA5163}"/>
    <dataValidation type="list" allowBlank="1" showInputMessage="1" showErrorMessage="1" sqref="J27:J28" xr:uid="{F4E88A3A-542D-4613-B1E5-7EB8F59ED38B}">
      <formula1>BuisnessUnitList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CAA99E8-F370-4CC4-B16F-D1769EA96732}">
          <x14:formula1>
            <xm:f>Lookups!$A$2:$A$7</xm:f>
          </x14:formula1>
          <xm:sqref>I27:I28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Lookups</vt:lpstr>
      <vt:lpstr>Risk_Register</vt:lpstr>
      <vt:lpstr>Action_Tracker</vt:lpstr>
      <vt:lpstr>Dashboard</vt:lpstr>
      <vt:lpstr>Pivot_Data</vt:lpstr>
      <vt:lpstr>ActionStatusList</vt:lpstr>
      <vt:lpstr>BuisnessUnitList</vt:lpstr>
      <vt:lpstr>CategoryList</vt:lpstr>
      <vt:lpstr>ControlStrengthList</vt:lpstr>
      <vt:lpstr>PriorityList</vt:lpstr>
      <vt:lpstr>RiskStatusList</vt:lpstr>
      <vt:lpstr>tblCategory</vt:lpstr>
      <vt:lpstr>tblRisk_Status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Emily Burke</cp:lastModifiedBy>
  <cp:revision/>
  <dcterms:created xsi:type="dcterms:W3CDTF">2026-02-15T16:59:27Z</dcterms:created>
  <dcterms:modified xsi:type="dcterms:W3CDTF">2026-02-17T01:47:01Z</dcterms:modified>
  <cp:category/>
  <cp:contentStatus/>
</cp:coreProperties>
</file>